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0657d3bad48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ee06a97e2884495"/>
    <x:sheet xmlns:r="http://schemas.openxmlformats.org/officeDocument/2006/relationships" name="Test Checklist" sheetId="2" r:id="Rff463ebf39e24539"/>
    <x:sheet xmlns:r="http://schemas.openxmlformats.org/officeDocument/2006/relationships" name="Known Issues" sheetId="3" r:id="R7859e66ff2e046f2"/>
    <x:sheet xmlns:r="http://schemas.openxmlformats.org/officeDocument/2006/relationships" name="Go-Live Gate" sheetId="4" r:id="R712069107ce449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5B4B85"/>
      <x:name val="Carlito"/>
    </x:font>
    <x:font>
      <x:b/>
      <x:sz val="11"/>
      <x:color rgb="FF6D3CC9"/>
      <x:name val="Carlito"/>
    </x:font>
    <x:font>
      <x:b/>
      <x:sz val="20"/>
      <x:color rgb="FF172033"/>
      <x:name val="Carlito"/>
    </x:font>
    <x:font>
      <x:b/>
      <x:sz val="12"/>
      <x:color rgb="FFFFFFFF"/>
      <x:name val="Carlito"/>
    </x:font>
    <x:font>
      <x:b/>
      <x:sz val="15"/>
      <x:color rgb="FF065F46"/>
      <x:name val="Carlito"/>
    </x:font>
    <x:font>
      <x:b/>
      <x:sz val="11"/>
      <x:color rgb="FF17203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4154F"/>
      </x:patternFill>
    </x:fill>
    <x:fill>
      <x:patternFill patternType="solid">
        <x:fgColor rgb="FF6D3CC9"/>
      </x:patternFill>
    </x:fill>
    <x:fill>
      <x:patternFill patternType="solid">
        <x:fgColor rgb="FF0F766E"/>
      </x:patternFill>
    </x:fill>
    <x:fill>
      <x:patternFill patternType="solid">
        <x:fgColor rgb="FFF5F3FF"/>
      </x:patternFill>
    </x:fill>
    <x:fill>
      <x:patternFill patternType="solid">
        <x:fgColor rgb="FFFFFFFF"/>
      </x:patternFill>
    </x:fill>
    <x:fill>
      <x:patternFill patternType="solid">
        <x:fgColor rgb="FFECFDF5"/>
      </x:patternFill>
    </x:fill>
    <x:fill>
      <x:patternFill patternType="solid">
        <x:fgColor rgb="FFF3F4F6"/>
      </x:patternFill>
    </x:fill>
    <x:fill>
      <x:patternFill patternType="solid">
        <x:fgColor rgb="FF92400E"/>
      </x:patternFill>
    </x:fill>
  </x:fills>
  <x:borders count="25">
    <x:border/>
    <x:border/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2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6" xfId="0" applyNumberFormat="1" applyFont="1" applyFill="1" applyBorder="1" applyAlignment="1">
      <x:alignment vertical="center"/>
    </x:xf>
    <x:xf numFmtId="0" fontId="0" fillId="6" borderId="7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0" fillId="6" borderId="9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8" xfId="0" applyNumberFormat="1" applyFont="1" applyFill="1" applyBorder="1" applyAlignment="1">
      <x:alignment vertical="center"/>
    </x:xf>
    <x:xf numFmtId="201" fontId="5" fillId="6" borderId="4" xfId="0" applyNumberFormat="1" applyFont="1" applyFill="1" applyBorder="1" applyAlignment="1">
      <x:alignment vertical="center"/>
    </x:xf>
    <x:xf numFmtId="201" fontId="0" fillId="6" borderId="5" xfId="0" applyNumberFormat="1" applyFont="1" applyFill="1" applyBorder="1" applyAlignment="1">
      <x:alignment vertical="center"/>
    </x:xf>
    <x:xf numFmtId="201" fontId="5" fillId="6" borderId="8" xfId="0" applyNumberFormat="1" applyFont="1" applyFill="1" applyBorder="1" applyAlignment="1">
      <x:alignment vertical="center"/>
    </x:xf>
    <x:xf numFmtId="201" fontId="0" fillId="6" borderId="9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8" fillId="8" borderId="16" xfId="0" applyNumberFormat="1" applyFont="1" applyFill="1" applyBorder="1"/>
    <x:xf numFmtId="0" fontId="8" fillId="8" borderId="17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0" fillId="0" borderId="24" xfId="0" applyNumberFormat="1" applyFont="1" applyFill="1" applyBorder="1"/>
  </x:cellXfs>
  <x:cellStyles count="1">
    <x:cellStyle name="Normal" xfId="0"/>
  </x:cellStyles>
  <x:dxfs count="1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6D28D9"/>
      </x:font>
      <x:fill>
        <x:patternFill patternType="solid">
          <x:bgColor rgb="FFF5F3FF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6d54a17804107" /><Relationship Type="http://schemas.openxmlformats.org/officeDocument/2006/relationships/theme" Target="/xl/theme/theme1.xml" Id="R422df828c8ee4a33" /><Relationship Type="http://schemas.openxmlformats.org/officeDocument/2006/relationships/sharedStrings" Target="/xl/sharedStrings.xml" Id="Rc36b64b3a1054d29" /><Relationship Type="http://schemas.openxmlformats.org/officeDocument/2006/relationships/worksheet" Target="/xl/worksheets/sheet1.xml" Id="Rfee06a97e2884495" /><Relationship Type="http://schemas.openxmlformats.org/officeDocument/2006/relationships/worksheet" Target="/xl/worksheets/sheet2.xml" Id="Rff463ebf39e24539" /><Relationship Type="http://schemas.openxmlformats.org/officeDocument/2006/relationships/worksheet" Target="/xl/worksheets/sheet3.xml" Id="R7859e66ff2e046f2" /><Relationship Type="http://schemas.openxmlformats.org/officeDocument/2006/relationships/worksheet" Target="/xl/worksheets/sheet4.xml" Id="R712069107ce449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a0419b6db847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Test Status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'Dashboard'!$A$17:$A$22</c:f>
              <c:strCache>
                <c:ptCount val="0"/>
              </c:strCache>
            </c:strRef>
          </c:cat>
          <c:val>
            <c:numRef>
              <c:f>'Dashboard'!$B$17:$B$22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a0419b6db847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nityTestChecklist" displayName="SanityTestChecklist" ref="A1:N106" headerRowCount="1" totalsRowCount="0" totalsRowShown="0">
  <x:tableColumns count="14">
    <x:tableColumn id="1" name="ID"/>
    <x:tableColumn id="2" name="Phase"/>
    <x:tableColumn id="3" name="Area"/>
    <x:tableColumn id="4" name="Test Case"/>
    <x:tableColumn id="5" name="Steps / What to Verify"/>
    <x:tableColumn id="6" name="Expected Result"/>
    <x:tableColumn id="7" name="Priority"/>
    <x:tableColumn id="8" name="Role"/>
    <x:tableColumn id="9" name="Status"/>
    <x:tableColumn id="10" name="Date Tested"/>
    <x:tableColumn id="11" name="Result / Notes"/>
    <x:tableColumn id="12" name="Evidence / Screenshot / Link"/>
    <x:tableColumn id="13" name="Retest Status"/>
    <x:tableColumn id="14" name="Defect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nownIssuesTable" displayName="KnownIssuesTable" ref="A1:J11" headerRowCount="1" totalsRowCount="0" totalsRowShown="0">
  <x:tableColumns count="10">
    <x:tableColumn id="1" name="Issue ID"/>
    <x:tableColumn id="2" name="Issue"/>
    <x:tableColumn id="3" name="Type"/>
    <x:tableColumn id="4" name="Severity"/>
    <x:tableColumn id="5" name="Status"/>
    <x:tableColumn id="6" name="Current Finding"/>
    <x:tableColumn id="7" name="Required Fix / Decision"/>
    <x:tableColumn id="8" name="Related Phase"/>
    <x:tableColumn id="9" name="Retest Result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LiveGateTable" displayName="GoLiveGateTable" ref="A1:F24" headerRowCount="1" totalsRowCount="0" totalsRowShown="0">
  <x:tableColumns count="6">
    <x:tableColumn id="1" name="Gate ID"/>
    <x:tableColumn id="2" name="Go-Live Criterion"/>
    <x:tableColumn id="3" name="Pass Condition"/>
    <x:tableColumn id="4" name="Priority"/>
    <x:tableColumn id="5" name="Status"/>
    <x:tableColumn id="6" name="Evidenc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f736702cb545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0a55f282ae49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e0e12ab72c4f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3e8342c75f4540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</x:cols>
  <x:sheetData>
    <x:row r="1">
      <x:c r="A1" s="36" t="str">
        <x:v>Robotronix™ Production Readiness Tracker</x:v>
      </x:c>
      <x:c r="B1" s="36"/>
      <x:c r="C1" s="36"/>
      <x:c r="D1" s="36"/>
      <x:c r="E1" s="36"/>
      <x:c r="F1" s="36"/>
      <x:c r="G1" s="36"/>
      <x:c r="H1" s="36"/>
    </x:row>
    <x:row r="2">
      <x:c r="A2" s="36"/>
      <x:c r="B2" s="36"/>
      <x:c r="C2" s="36"/>
      <x:c r="D2" s="36"/>
      <x:c r="E2" s="36"/>
      <x:c r="F2" s="36"/>
      <x:c r="G2" s="36"/>
      <x:c r="H2" s="36"/>
    </x:row>
    <x:row r="3">
      <x:c r="A3" s="42" t="str">
        <x:v>Use the Test Checklist status dropdowns as you test. Dashboard updates automatically — no need to scroll through the chat.</x:v>
      </x:c>
      <x:c r="B3" s="42"/>
      <x:c r="C3" s="42"/>
      <x:c r="D3" s="42"/>
      <x:c r="E3" s="42"/>
      <x:c r="F3" s="42"/>
      <x:c r="G3" s="42"/>
      <x:c r="H3" s="42"/>
    </x:row>
    <x:row r="5">
      <x:c r="A5" s="64" t="str">
        <x:v>Total Tests</x:v>
      </x:c>
      <x:c r="B5" s="52"/>
      <x:c r="C5" s="64" t="str">
        <x:v>Passed</x:v>
      </x:c>
      <x:c r="D5" s="52"/>
      <x:c r="E5" s="64" t="str">
        <x:v>Failed</x:v>
      </x:c>
      <x:c r="F5" s="52"/>
      <x:c r="G5" s="64" t="str">
        <x:v>Blocked</x:v>
      </x:c>
      <x:c r="H5" s="52"/>
    </x:row>
    <x:row r="6">
      <x:c r="A6" s="66" t="n">
        <x:f>COUNTA('Test Checklist'!A2:A106)</x:f>
        <x:v>105</x:v>
      </x:c>
      <x:c r="B6" s="54"/>
      <x:c r="C6" s="66" t="n">
        <x:f>COUNTIF('Test Checklist'!I2:I106,"Passed")</x:f>
        <x:v>0</x:v>
      </x:c>
      <x:c r="D6" s="54"/>
      <x:c r="E6" s="66" t="n">
        <x:f>COUNTIF('Test Checklist'!I2:I106,"Failed")</x:f>
        <x:v>0</x:v>
      </x:c>
      <x:c r="F6" s="54"/>
      <x:c r="G6" s="66" t="n">
        <x:f>COUNTIF('Test Checklist'!I2:I106,"Blocked")</x:f>
        <x:v>0</x:v>
      </x:c>
      <x:c r="H6" s="54"/>
    </x:row>
    <x:row r="8">
      <x:c r="A8" s="64" t="str">
        <x:v>In Progress</x:v>
      </x:c>
      <x:c r="B8" s="52"/>
      <x:c r="C8" s="64" t="str">
        <x:v>Not Started</x:v>
      </x:c>
      <x:c r="D8" s="52"/>
      <x:c r="E8" s="64" t="str">
        <x:v>Completion %</x:v>
      </x:c>
      <x:c r="F8" s="52"/>
      <x:c r="G8" s="64" t="str">
        <x:v>Open P0 Tests</x:v>
      </x:c>
      <x:c r="H8" s="52"/>
    </x:row>
    <x:row r="9">
      <x:c r="A9" s="66" t="n">
        <x:f>COUNTIF('Test Checklist'!I2:I106,"In Progress")</x:f>
        <x:v>0</x:v>
      </x:c>
      <x:c r="B9" s="54"/>
      <x:c r="C9" s="66" t="n">
        <x:f>COUNTIF('Test Checklist'!I2:I106,"Not Started")</x:f>
        <x:v>105</x:v>
      </x:c>
      <x:c r="D9" s="54"/>
      <x:c r="E9" s="68" t="n">
        <x:f>IFERROR((COUNTIF('Test Checklist'!I2:I106,"Passed")+COUNTIF('Test Checklist'!I2:I106,"N/A"))/COUNTA('Test Checklist'!A2:A106),0)</x:f>
        <x:v>0</x:v>
      </x:c>
      <x:c r="F9" s="69"/>
      <x:c r="G9" s="66" t="n">
        <x:f>COUNTIFS('Test Checklist'!G2:G106,"P0",'Test Checklist'!I2:I106,"&lt;&gt;Passed",'Test Checklist'!I2:I106,"&lt;&gt;N/A")</x:f>
        <x:v>68</x:v>
      </x:c>
      <x:c r="H9" s="54"/>
    </x:row>
    <x:row r="11">
      <x:c r="A11" s="72" t="str">
        <x:v>GO / NO-GO SNAPSHOT</x:v>
      </x:c>
      <x:c r="B11" s="72"/>
      <x:c r="C11" s="72"/>
      <x:c r="D11" s="72"/>
      <x:c r="E11" s="72"/>
      <x:c r="F11" s="72"/>
      <x:c r="G11" s="72"/>
      <x:c r="H11" s="72"/>
    </x:row>
    <x:row r="12">
      <x:c r="A12" s="78" t="str">
        <x:f>IF(AND(COUNTIF('Go-Live Gate'!E2:E24,"Failed")=0,COUNTIF('Go-Live Gate'!E2:E24,"Blocked")=0,COUNTIF('Go-Live Gate'!E2:E24,"Not Started")=0,COUNTIF('Go-Live Gate'!E2:E24,"In Progress")=0),"PROD READY","NOT READY YET — complete Go-Live Gate and resolve P0/P1 blockers")</x:f>
        <x:v>NOT READY YET — complete Go-Live Gate and resolve P0/P1 blockers</x:v>
      </x:c>
      <x:c r="B12" s="78"/>
      <x:c r="C12" s="78"/>
      <x:c r="D12" s="78"/>
      <x:c r="E12" s="78"/>
      <x:c r="F12" s="78"/>
      <x:c r="G12" s="78"/>
      <x:c r="H12" s="78"/>
    </x:row>
    <x:row r="13">
      <x:c r="A13" s="78"/>
      <x:c r="B13" s="78"/>
      <x:c r="C13" s="78"/>
      <x:c r="D13" s="78"/>
      <x:c r="E13" s="78"/>
      <x:c r="F13" s="78"/>
      <x:c r="G13" s="78"/>
      <x:c r="H13" s="78"/>
    </x:row>
    <x:row r="16">
      <x:c r="A16" s="98" t="str">
        <x:v>Status</x:v>
      </x:c>
      <x:c r="B16" s="99" t="str">
        <x:v>Count</x:v>
      </x:c>
    </x:row>
    <x:row r="17">
      <x:c r="A17" s="86" t="str">
        <x:v>Passed</x:v>
      </x:c>
      <x:c r="B17" s="87" t="n">
        <x:f>COUNTIF('Test Checklist'!I2:I106,"Passed")</x:f>
        <x:v>0</x:v>
      </x:c>
    </x:row>
    <x:row r="18">
      <x:c r="A18" s="86" t="str">
        <x:v>Failed</x:v>
      </x:c>
      <x:c r="B18" s="87" t="n">
        <x:f>COUNTIF('Test Checklist'!I2:I106,"Failed")</x:f>
        <x:v>0</x:v>
      </x:c>
    </x:row>
    <x:row r="19">
      <x:c r="A19" s="86" t="str">
        <x:v>Blocked</x:v>
      </x:c>
      <x:c r="B19" s="87" t="n">
        <x:f>COUNTIF('Test Checklist'!I2:I106,"Blocked")</x:f>
        <x:v>0</x:v>
      </x:c>
    </x:row>
    <x:row r="20">
      <x:c r="A20" s="86" t="str">
        <x:v>In Progress</x:v>
      </x:c>
      <x:c r="B20" s="87" t="n">
        <x:f>COUNTIF('Test Checklist'!I2:I106,"In Progress")</x:f>
        <x:v>0</x:v>
      </x:c>
    </x:row>
    <x:row r="21">
      <x:c r="A21" s="86" t="str">
        <x:v>Not Started</x:v>
      </x:c>
      <x:c r="B21" s="87" t="n">
        <x:f>COUNTIF('Test Checklist'!I2:I106,"Not Started")</x:f>
        <x:v>105</x:v>
      </x:c>
    </x:row>
    <x:row r="22">
      <x:c r="A22" s="88" t="str">
        <x:v>N/A</x:v>
      </x:c>
      <x:c r="B22" s="89" t="n">
        <x:f>COUNTIF('Test Checklist'!I2:I106,"N/A")</x:f>
        <x:v>0</x:v>
      </x:c>
    </x:row>
    <x:row r="25">
      <x:c r="A25" s="104" t="str">
        <x:v>Phase</x:v>
      </x:c>
      <x:c r="B25" s="104" t="str">
        <x:v>Total</x:v>
      </x:c>
      <x:c r="C25" s="104" t="str">
        <x:v>Passed</x:v>
      </x:c>
      <x:c r="D25" s="104" t="str">
        <x:v>Failed/Blocked</x:v>
      </x:c>
      <x:c r="E25" s="104" t="str">
        <x:v>Remaining</x:v>
      </x:c>
    </x:row>
    <x:row r="26">
      <x:c r="A26" s="106" t="str">
        <x:v>1. Environment</x:v>
      </x:c>
      <x:c r="B26" s="106" t="n">
        <x:f>COUNTIF('Test Checklist'!B2:B106,A26)</x:f>
        <x:v>4</x:v>
      </x:c>
      <x:c r="C26" s="106" t="n">
        <x:f>COUNTIFS('Test Checklist'!B2:B106,A26,'Test Checklist'!I2:I106,"Passed")</x:f>
        <x:v>0</x:v>
      </x:c>
      <x:c r="D26" s="106" t="n">
        <x:f>COUNTIFS('Test Checklist'!B2:B106,A26,'Test Checklist'!I2:I106,"Failed")+COUNTIFS('Test Checklist'!B2:B106,A26,'Test Checklist'!I2:I106,"Blocked")</x:f>
        <x:v>0</x:v>
      </x:c>
      <x:c r="E26" s="106" t="n">
        <x:f>B26-C26</x:f>
        <x:v>4</x:v>
      </x:c>
    </x:row>
    <x:row r="27">
      <x:c r="A27" s="106" t="str">
        <x:v>2. Public &amp; Auth</x:v>
      </x:c>
      <x:c r="B27" s="106" t="n">
        <x:f>COUNTIF('Test Checklist'!B2:B106,A27)</x:f>
        <x:v>6</x:v>
      </x:c>
      <x:c r="C27" s="106" t="n">
        <x:f>COUNTIFS('Test Checklist'!B2:B106,A27,'Test Checklist'!I2:I106,"Passed")</x:f>
        <x:v>0</x:v>
      </x:c>
      <x:c r="D27" s="106" t="n">
        <x:f>COUNTIFS('Test Checklist'!B2:B106,A27,'Test Checklist'!I2:I106,"Failed")+COUNTIFS('Test Checklist'!B2:B106,A27,'Test Checklist'!I2:I106,"Blocked")</x:f>
        <x:v>0</x:v>
      </x:c>
      <x:c r="E27" s="106" t="n">
        <x:f>B27-C27</x:f>
        <x:v>6</x:v>
      </x:c>
    </x:row>
    <x:row r="28">
      <x:c r="A28" s="106" t="str">
        <x:v>3. Parent Onboarding</x:v>
      </x:c>
      <x:c r="B28" s="106" t="n">
        <x:f>COUNTIF('Test Checklist'!B2:B106,A28)</x:f>
        <x:v>19</x:v>
      </x:c>
      <x:c r="C28" s="106" t="n">
        <x:f>COUNTIFS('Test Checklist'!B2:B106,A28,'Test Checklist'!I2:I106,"Passed")</x:f>
        <x:v>0</x:v>
      </x:c>
      <x:c r="D28" s="106" t="n">
        <x:f>COUNTIFS('Test Checklist'!B2:B106,A28,'Test Checklist'!I2:I106,"Failed")+COUNTIFS('Test Checklist'!B2:B106,A28,'Test Checklist'!I2:I106,"Blocked")</x:f>
        <x:v>0</x:v>
      </x:c>
      <x:c r="E28" s="106" t="n">
        <x:f>B28-C28</x:f>
        <x:v>19</x:v>
      </x:c>
    </x:row>
    <x:row r="29">
      <x:c r="A29" s="106" t="str">
        <x:v>4. DB Verification</x:v>
      </x:c>
      <x:c r="B29" s="106" t="n">
        <x:f>COUNTIF('Test Checklist'!B2:B106,A29)</x:f>
        <x:v>4</x:v>
      </x:c>
      <x:c r="C29" s="106" t="n">
        <x:f>COUNTIFS('Test Checklist'!B2:B106,A29,'Test Checklist'!I2:I106,"Passed")</x:f>
        <x:v>0</x:v>
      </x:c>
      <x:c r="D29" s="106" t="n">
        <x:f>COUNTIFS('Test Checklist'!B2:B106,A29,'Test Checklist'!I2:I106,"Failed")+COUNTIFS('Test Checklist'!B2:B106,A29,'Test Checklist'!I2:I106,"Blocked")</x:f>
        <x:v>0</x:v>
      </x:c>
      <x:c r="E29" s="106" t="n">
        <x:f>B29-C29</x:f>
        <x:v>4</x:v>
      </x:c>
    </x:row>
    <x:row r="30">
      <x:c r="A30" s="106" t="str">
        <x:v>5. Admin Onboarding</x:v>
      </x:c>
      <x:c r="B30" s="106" t="n">
        <x:f>COUNTIF('Test Checklist'!B2:B106,A30)</x:f>
        <x:v>7</x:v>
      </x:c>
      <x:c r="C30" s="106" t="n">
        <x:f>COUNTIFS('Test Checklist'!B2:B106,A30,'Test Checklist'!I2:I106,"Passed")</x:f>
        <x:v>0</x:v>
      </x:c>
      <x:c r="D30" s="106" t="n">
        <x:f>COUNTIFS('Test Checklist'!B2:B106,A30,'Test Checklist'!I2:I106,"Failed")+COUNTIFS('Test Checklist'!B2:B106,A30,'Test Checklist'!I2:I106,"Blocked")</x:f>
        <x:v>0</x:v>
      </x:c>
      <x:c r="E30" s="106" t="n">
        <x:f>B30-C30</x:f>
        <x:v>7</x:v>
      </x:c>
    </x:row>
    <x:row r="31">
      <x:c r="A31" s="106" t="str">
        <x:v>6. Trainer Setup</x:v>
      </x:c>
      <x:c r="B31" s="106" t="n">
        <x:f>COUNTIF('Test Checklist'!B2:B106,A31)</x:f>
        <x:v>13</x:v>
      </x:c>
      <x:c r="C31" s="106" t="n">
        <x:f>COUNTIFS('Test Checklist'!B2:B106,A31,'Test Checklist'!I2:I106,"Passed")</x:f>
        <x:v>0</x:v>
      </x:c>
      <x:c r="D31" s="106" t="n">
        <x:f>COUNTIFS('Test Checklist'!B2:B106,A31,'Test Checklist'!I2:I106,"Failed")+COUNTIFS('Test Checklist'!B2:B106,A31,'Test Checklist'!I2:I106,"Blocked")</x:f>
        <x:v>0</x:v>
      </x:c>
      <x:c r="E31" s="106" t="n">
        <x:f>B31-C31</x:f>
        <x:v>13</x:v>
      </x:c>
    </x:row>
    <x:row r="32">
      <x:c r="A32" s="106" t="str">
        <x:v>7. Scheduling &amp; Activation</x:v>
      </x:c>
      <x:c r="B32" s="106" t="n">
        <x:f>COUNTIF('Test Checklist'!B2:B106,A32)</x:f>
        <x:v>10</x:v>
      </x:c>
      <x:c r="C32" s="106" t="n">
        <x:f>COUNTIFS('Test Checklist'!B2:B106,A32,'Test Checklist'!I2:I106,"Passed")</x:f>
        <x:v>0</x:v>
      </x:c>
      <x:c r="D32" s="106" t="n">
        <x:f>COUNTIFS('Test Checklist'!B2:B106,A32,'Test Checklist'!I2:I106,"Failed")+COUNTIFS('Test Checklist'!B2:B106,A32,'Test Checklist'!I2:I106,"Blocked")</x:f>
        <x:v>0</x:v>
      </x:c>
      <x:c r="E32" s="106" t="n">
        <x:f>B32-C32</x:f>
        <x:v>10</x:v>
      </x:c>
    </x:row>
    <x:row r="33">
      <x:c r="A33" s="106" t="str">
        <x:v>8. Role Views</x:v>
      </x:c>
      <x:c r="B33" s="106" t="n">
        <x:f>COUNTIF('Test Checklist'!B2:B106,A33)</x:f>
        <x:v>6</x:v>
      </x:c>
      <x:c r="C33" s="106" t="n">
        <x:f>COUNTIFS('Test Checklist'!B2:B106,A33,'Test Checklist'!I2:I106,"Passed")</x:f>
        <x:v>0</x:v>
      </x:c>
      <x:c r="D33" s="106" t="n">
        <x:f>COUNTIFS('Test Checklist'!B2:B106,A33,'Test Checklist'!I2:I106,"Failed")+COUNTIFS('Test Checklist'!B2:B106,A33,'Test Checklist'!I2:I106,"Blocked")</x:f>
        <x:v>0</x:v>
      </x:c>
      <x:c r="E33" s="106" t="n">
        <x:f>B33-C33</x:f>
        <x:v>6</x:v>
      </x:c>
    </x:row>
    <x:row r="34">
      <x:c r="A34" s="106" t="str">
        <x:v>9. Class Delivery</x:v>
      </x:c>
      <x:c r="B34" s="106" t="n">
        <x:f>COUNTIF('Test Checklist'!B2:B106,A34)</x:f>
        <x:v>4</x:v>
      </x:c>
      <x:c r="C34" s="106" t="n">
        <x:f>COUNTIFS('Test Checklist'!B2:B106,A34,'Test Checklist'!I2:I106,"Passed")</x:f>
        <x:v>0</x:v>
      </x:c>
      <x:c r="D34" s="106" t="n">
        <x:f>COUNTIFS('Test Checklist'!B2:B106,A34,'Test Checklist'!I2:I106,"Failed")+COUNTIFS('Test Checklist'!B2:B106,A34,'Test Checklist'!I2:I106,"Blocked")</x:f>
        <x:v>0</x:v>
      </x:c>
      <x:c r="E34" s="106" t="n">
        <x:f>B34-C34</x:f>
        <x:v>4</x:v>
      </x:c>
    </x:row>
    <x:row r="35">
      <x:c r="A35" s="106" t="str">
        <x:v>10. Payroll</x:v>
      </x:c>
      <x:c r="B35" s="106" t="n">
        <x:f>COUNTIF('Test Checklist'!B2:B106,A35)</x:f>
        <x:v>6</x:v>
      </x:c>
      <x:c r="C35" s="106" t="n">
        <x:f>COUNTIFS('Test Checklist'!B2:B106,A35,'Test Checklist'!I2:I106,"Passed")</x:f>
        <x:v>0</x:v>
      </x:c>
      <x:c r="D35" s="106" t="n">
        <x:f>COUNTIFS('Test Checklist'!B2:B106,A35,'Test Checklist'!I2:I106,"Failed")+COUNTIFS('Test Checklist'!B2:B106,A35,'Test Checklist'!I2:I106,"Blocked")</x:f>
        <x:v>0</x:v>
      </x:c>
      <x:c r="E35" s="106" t="n">
        <x:f>B35-C35</x:f>
        <x:v>6</x:v>
      </x:c>
    </x:row>
    <x:row r="36">
      <x:c r="A36" s="106" t="str">
        <x:v>11. Enrollment UI</x:v>
      </x:c>
      <x:c r="B36" s="106" t="n">
        <x:f>COUNTIF('Test Checklist'!B2:B106,A36)</x:f>
        <x:v>3</x:v>
      </x:c>
      <x:c r="C36" s="106" t="n">
        <x:f>COUNTIFS('Test Checklist'!B2:B106,A36,'Test Checklist'!I2:I106,"Passed")</x:f>
        <x:v>0</x:v>
      </x:c>
      <x:c r="D36" s="106" t="n">
        <x:f>COUNTIFS('Test Checklist'!B2:B106,A36,'Test Checklist'!I2:I106,"Failed")+COUNTIFS('Test Checklist'!B2:B106,A36,'Test Checklist'!I2:I106,"Blocked")</x:f>
        <x:v>0</x:v>
      </x:c>
      <x:c r="E36" s="106" t="n">
        <x:f>B36-C36</x:f>
        <x:v>3</x:v>
      </x:c>
    </x:row>
    <x:row r="37">
      <x:c r="A37" s="106" t="str">
        <x:v>12. Communications</x:v>
      </x:c>
      <x:c r="B37" s="106" t="n">
        <x:f>COUNTIF('Test Checklist'!B2:B106,A37)</x:f>
        <x:v>3</x:v>
      </x:c>
      <x:c r="C37" s="106" t="n">
        <x:f>COUNTIFS('Test Checklist'!B2:B106,A37,'Test Checklist'!I2:I106,"Passed")</x:f>
        <x:v>0</x:v>
      </x:c>
      <x:c r="D37" s="106" t="n">
        <x:f>COUNTIFS('Test Checklist'!B2:B106,A37,'Test Checklist'!I2:I106,"Failed")+COUNTIFS('Test Checklist'!B2:B106,A37,'Test Checklist'!I2:I106,"Blocked")</x:f>
        <x:v>0</x:v>
      </x:c>
      <x:c r="E37" s="106" t="n">
        <x:f>B37-C37</x:f>
        <x:v>3</x:v>
      </x:c>
    </x:row>
    <x:row r="38">
      <x:c r="A38" s="106" t="str">
        <x:v>13. Billing &amp; Invoice</x:v>
      </x:c>
      <x:c r="B38" s="106" t="n">
        <x:f>COUNTIF('Test Checklist'!B2:B106,A38)</x:f>
        <x:v>4</x:v>
      </x:c>
      <x:c r="C38" s="106" t="n">
        <x:f>COUNTIFS('Test Checklist'!B2:B106,A38,'Test Checklist'!I2:I106,"Passed")</x:f>
        <x:v>0</x:v>
      </x:c>
      <x:c r="D38" s="106" t="n">
        <x:f>COUNTIFS('Test Checklist'!B2:B106,A38,'Test Checklist'!I2:I106,"Failed")+COUNTIFS('Test Checklist'!B2:B106,A38,'Test Checklist'!I2:I106,"Blocked")</x:f>
        <x:v>0</x:v>
      </x:c>
      <x:c r="E38" s="106" t="n">
        <x:f>B38-C38</x:f>
        <x:v>4</x:v>
      </x:c>
    </x:row>
    <x:row r="39">
      <x:c r="A39" s="106" t="str">
        <x:v>14. Security</x:v>
      </x:c>
      <x:c r="B39" s="106" t="n">
        <x:f>COUNTIF('Test Checklist'!B2:B106,A39)</x:f>
        <x:v>4</x:v>
      </x:c>
      <x:c r="C39" s="106" t="n">
        <x:f>COUNTIFS('Test Checklist'!B2:B106,A39,'Test Checklist'!I2:I106,"Passed")</x:f>
        <x:v>0</x:v>
      </x:c>
      <x:c r="D39" s="106" t="n">
        <x:f>COUNTIFS('Test Checklist'!B2:B106,A39,'Test Checklist'!I2:I106,"Failed")+COUNTIFS('Test Checklist'!B2:B106,A39,'Test Checklist'!I2:I106,"Blocked")</x:f>
        <x:v>0</x:v>
      </x:c>
      <x:c r="E39" s="106" t="n">
        <x:f>B39-C39</x:f>
        <x:v>4</x:v>
      </x:c>
    </x:row>
    <x:row r="40">
      <x:c r="A40" s="106" t="str">
        <x:v>15. Session &amp; Resilience</x:v>
      </x:c>
      <x:c r="B40" s="106" t="n">
        <x:f>COUNTIF('Test Checklist'!B2:B106,A40)</x:f>
        <x:v>4</x:v>
      </x:c>
      <x:c r="C40" s="106" t="n">
        <x:f>COUNTIFS('Test Checklist'!B2:B106,A40,'Test Checklist'!I2:I106,"Passed")</x:f>
        <x:v>0</x:v>
      </x:c>
      <x:c r="D40" s="106" t="n">
        <x:f>COUNTIFS('Test Checklist'!B2:B106,A40,'Test Checklist'!I2:I106,"Failed")+COUNTIFS('Test Checklist'!B2:B106,A40,'Test Checklist'!I2:I106,"Blocked")</x:f>
        <x:v>0</x:v>
      </x:c>
      <x:c r="E40" s="106" t="n">
        <x:f>B40-C40</x:f>
        <x:v>4</x:v>
      </x:c>
    </x:row>
    <x:row r="41">
      <x:c r="A41" s="106" t="str">
        <x:v>16. Final QA</x:v>
      </x:c>
      <x:c r="B41" s="106" t="n">
        <x:f>COUNTIF('Test Checklist'!B2:B106,A41)</x:f>
        <x:v>4</x:v>
      </x:c>
      <x:c r="C41" s="106" t="n">
        <x:f>COUNTIFS('Test Checklist'!B2:B106,A41,'Test Checklist'!I2:I106,"Passed")</x:f>
        <x:v>0</x:v>
      </x:c>
      <x:c r="D41" s="106" t="n">
        <x:f>COUNTIFS('Test Checklist'!B2:B106,A41,'Test Checklist'!I2:I106,"Failed")+COUNTIFS('Test Checklist'!B2:B106,A41,'Test Checklist'!I2:I106,"Blocked")</x:f>
        <x:v>0</x:v>
      </x:c>
      <x:c r="E41" s="106" t="n">
        <x:f>B41-C41</x:f>
        <x:v>4</x:v>
      </x:c>
    </x:row>
    <x:row r="42">
      <x:c r="A42" s="107" t="str">
        <x:v>17. Production Smoke</x:v>
      </x:c>
      <x:c r="B42" s="107" t="n">
        <x:f>COUNTIF('Test Checklist'!B2:B106,A42)</x:f>
        <x:v>4</x:v>
      </x:c>
      <x:c r="C42" s="107" t="n">
        <x:f>COUNTIFS('Test Checklist'!B2:B106,A42,'Test Checklist'!I2:I106,"Passed")</x:f>
        <x:v>0</x:v>
      </x:c>
      <x:c r="D42" s="107" t="n">
        <x:f>COUNTIFS('Test Checklist'!B2:B106,A42,'Test Checklist'!I2:I106,"Failed")+COUNTIFS('Test Checklist'!B2:B106,A42,'Test Checklist'!I2:I106,"Blocked")</x:f>
        <x:v>0</x:v>
      </x:c>
      <x:c r="E42" s="107" t="n">
        <x:f>B42-C42</x:f>
        <x:v>4</x:v>
      </x:c>
    </x:row>
    <x:row r="45">
      <x:c r="A45" s="110" t="str">
        <x:v>KNOWN ISSUE SNAPSHOT</x:v>
      </x:c>
      <x:c r="B45" s="110"/>
      <x:c r="C45" s="110"/>
      <x:c r="D45" s="110"/>
      <x:c r="E45" s="110"/>
      <x:c r="F45" s="110"/>
      <x:c r="G45" s="110"/>
      <x:c r="H45" s="110"/>
    </x:row>
    <x:row r="46">
      <x:c r="A46" s="106" t="str">
        <x:v>Open / Investigating</x:v>
      </x:c>
      <x:c r="B46" s="106" t="n">
        <x:f>COUNTIF('Known Issues'!E2:E11,"Open")+COUNTIF('Known Issues'!E2:E11,"Investigating")</x:f>
        <x:v>3</x:v>
      </x:c>
    </x:row>
    <x:row r="47">
      <x:c r="A47" s="106" t="str">
        <x:v>Open P0</x:v>
      </x:c>
      <x:c r="B47" s="106" t="n">
        <x:f>COUNTIFS('Known Issues'!D2:D11,"P0",'Known Issues'!E2:E11,"&lt;&gt;Fixed",'Known Issues'!E2:E11,"&lt;&gt;Accepted",'Known Issues'!E2:E11,"&lt;&gt;Non-App")</x:f>
        <x:v>2</x:v>
      </x:c>
    </x:row>
    <x:row r="48">
      <x:c r="A48" s="106" t="str">
        <x:v>Fixed</x:v>
      </x:c>
      <x:c r="B48" s="106" t="n">
        <x:f>COUNTIF('Known Issues'!E2:E11,"Fixed")</x:f>
        <x:v>0</x:v>
      </x:c>
    </x:row>
    <x:row r="49">
      <x:c r="A49" s="113" t="str">
        <x:v>Planned UX</x:v>
      </x:c>
      <x:c r="B49" s="113" t="n">
        <x:f>COUNTIFS('Known Issues'!C2:C11,"UX",'Known Issues'!E2:E11,"Planned")</x:f>
        <x:v>6</x:v>
      </x:c>
    </x:row>
  </x:sheetData>
  <x:mergeCells>
    <x:mergeCell ref="A1:H2"/>
    <x:mergeCell ref="A3:H3"/>
    <x:mergeCell ref="A5:B5"/>
    <x:mergeCell ref="A6:B6"/>
    <x:mergeCell ref="C5:D5"/>
    <x:mergeCell ref="C6:D6"/>
    <x:mergeCell ref="E5:F5"/>
    <x:mergeCell ref="E6:F6"/>
    <x:mergeCell ref="G5:H5"/>
    <x:mergeCell ref="G6:H6"/>
    <x:mergeCell ref="A8:B8"/>
    <x:mergeCell ref="A9:B9"/>
    <x:mergeCell ref="C8:D8"/>
    <x:mergeCell ref="C9:D9"/>
    <x:mergeCell ref="E8:F8"/>
    <x:mergeCell ref="E9:F9"/>
    <x:mergeCell ref="G8:H8"/>
    <x:mergeCell ref="G9:H9"/>
    <x:mergeCell ref="A11:H11"/>
    <x:mergeCell ref="A12:H13"/>
    <x:mergeCell ref="A45:H45"/>
  </x:mergeCells>
  <x:conditionalFormatting sqref="C26:C42">
    <x:cfRule type="dataBar" priority="1">
      <x:dataBar>
        <x:cfvo type="min"/>
        <x:cfvo type="max"/>
        <x:color rgb="FF4EA72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9f736702cb545d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4EA72E"/>
            </x14:dataBar>
          </x14:cfRule>
          <xm:sqref>C26:C42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30" hidden="0" customWidth="1"/>
    <x:col min="5" max="5" width="42" hidden="0" customWidth="1"/>
    <x:col min="6" max="6" width="38" hidden="0" customWidth="1"/>
    <x:col min="7" max="7" width="10" hidden="0" customWidth="1"/>
    <x:col min="8" max="8" width="14" hidden="0" customWidth="1"/>
    <x:col min="9" max="9" width="14" hidden="0" customWidth="1"/>
    <x:col min="10" max="10" width="14" hidden="0" customWidth="1"/>
    <x:col min="11" max="11" width="36" hidden="0" customWidth="1"/>
    <x:col min="12" max="12" width="30" hidden="0" customWidth="1"/>
    <x:col min="13" max="13" width="14" hidden="0" customWidth="1"/>
    <x:col min="14" max="14" width="12" hidden="0" customWidth="1"/>
  </x:cols>
  <x:sheetData>
    <x:row r="1">
      <x:c r="A1" s="6" t="str">
        <x:v>ID</x:v>
      </x:c>
      <x:c r="B1" s="6" t="str">
        <x:v>Phase</x:v>
      </x:c>
      <x:c r="C1" s="6" t="str">
        <x:v>Area</x:v>
      </x:c>
      <x:c r="D1" s="6" t="str">
        <x:v>Test Case</x:v>
      </x:c>
      <x:c r="E1" s="6" t="str">
        <x:v>Steps / What to Verify</x:v>
      </x:c>
      <x:c r="F1" s="6" t="str">
        <x:v>Expected Result</x:v>
      </x:c>
      <x:c r="G1" s="6" t="str">
        <x:v>Priority</x:v>
      </x:c>
      <x:c r="H1" s="6" t="str">
        <x:v>Role</x:v>
      </x:c>
      <x:c r="I1" s="6" t="str">
        <x:v>Status</x:v>
      </x:c>
      <x:c r="J1" s="6" t="str">
        <x:v>Date Tested</x:v>
      </x:c>
      <x:c r="K1" s="6" t="str">
        <x:v>Result / Notes</x:v>
      </x:c>
      <x:c r="L1" s="6" t="str">
        <x:v>Evidence / Screenshot / Link</x:v>
      </x:c>
      <x:c r="M1" s="6" t="str">
        <x:v>Retest Status</x:v>
      </x:c>
      <x:c r="N1" s="6" t="str">
        <x:v>Defect ID</x:v>
      </x:c>
    </x:row>
    <x:row r="2">
      <x:c r="A2" s="12" t="str">
        <x:v>T001</x:v>
      </x:c>
      <x:c r="B2" s="12" t="str">
        <x:v>1. Environment</x:v>
      </x:c>
      <x:c r="C2" s="12" t="str">
        <x:v>Technical</x:v>
      </x:c>
      <x:c r="D2" s="14" t="str">
        <x:v>TypeScript validation</x:v>
      </x:c>
      <x:c r="E2" s="14" t="str">
        <x:v>Run npm run typecheck.</x:v>
      </x:c>
      <x:c r="F2" s="14" t="str">
        <x:v>0 TypeScript errors.</x:v>
      </x:c>
      <x:c r="G2" s="12" t="str">
        <x:v>P0</x:v>
      </x:c>
      <x:c r="H2" s="12" t="str">
        <x:v>Admin/Dev</x:v>
      </x:c>
      <x:c r="I2" s="12" t="str">
        <x:v>Not Started</x:v>
      </x:c>
      <x:c r="J2" s="16"/>
      <x:c r="K2" s="14" t="str"/>
      <x:c r="L2" s="14" t="str"/>
      <x:c r="M2" s="14" t="str">
        <x:v>N/A</x:v>
      </x:c>
      <x:c r="N2" s="14" t="str"/>
    </x:row>
    <x:row r="3">
      <x:c r="A3" s="12" t="str">
        <x:v>T002</x:v>
      </x:c>
      <x:c r="B3" s="12" t="str">
        <x:v>1. Environment</x:v>
      </x:c>
      <x:c r="C3" s="12" t="str">
        <x:v>Technical</x:v>
      </x:c>
      <x:c r="D3" s="14" t="str">
        <x:v>Development database connection</x:v>
      </x:c>
      <x:c r="E3" s="14" t="str">
        <x:v>Confirm local portal points to Development Supabase, not Production.</x:v>
      </x:c>
      <x:c r="F3" s="14" t="str">
        <x:v>Local development uses Development Supabase only.</x:v>
      </x:c>
      <x:c r="G3" s="12" t="str">
        <x:v>P0</x:v>
      </x:c>
      <x:c r="H3" s="12" t="str">
        <x:v>Admin/Dev</x:v>
      </x:c>
      <x:c r="I3" s="12" t="str">
        <x:v>Not Started</x:v>
      </x:c>
      <x:c r="J3" s="16"/>
      <x:c r="K3" s="14" t="str"/>
      <x:c r="L3" s="14" t="str"/>
      <x:c r="M3" s="14" t="str">
        <x:v>N/A</x:v>
      </x:c>
      <x:c r="N3" s="14" t="str"/>
    </x:row>
    <x:row r="4">
      <x:c r="A4" s="12" t="str">
        <x:v>T003</x:v>
      </x:c>
      <x:c r="B4" s="12" t="str">
        <x:v>1. Environment</x:v>
      </x:c>
      <x:c r="C4" s="12" t="str">
        <x:v>Technical</x:v>
      </x:c>
      <x:c r="D4" s="14" t="str">
        <x:v>Portal starts cleanly</x:v>
      </x:c>
      <x:c r="E4" s="14" t="str">
        <x:v>Run npm run dev and load homepage/admin.</x:v>
      </x:c>
      <x:c r="F4" s="14" t="str">
        <x:v>No build/runtime blocker; no unexplained application console errors.</x:v>
      </x:c>
      <x:c r="G4" s="12" t="str">
        <x:v>P0</x:v>
      </x:c>
      <x:c r="H4" s="12" t="str">
        <x:v>All</x:v>
      </x:c>
      <x:c r="I4" s="12" t="str">
        <x:v>Not Started</x:v>
      </x:c>
      <x:c r="J4" s="16"/>
      <x:c r="K4" s="14" t="str"/>
      <x:c r="L4" s="14" t="str"/>
      <x:c r="M4" s="14" t="str">
        <x:v>N/A</x:v>
      </x:c>
      <x:c r="N4" s="14" t="str"/>
    </x:row>
    <x:row r="5">
      <x:c r="A5" s="12" t="str">
        <x:v>T004</x:v>
      </x:c>
      <x:c r="B5" s="12" t="str">
        <x:v>1. Environment</x:v>
      </x:c>
      <x:c r="C5" s="12" t="str">
        <x:v>Browser</x:v>
      </x:c>
      <x:c r="D5" s="14" t="str">
        <x:v>Clean browser hydration check</x:v>
      </x:c>
      <x:c r="E5" s="14" t="str">
        <x:v>Open in Incognito/extensions disabled.</x:v>
      </x:c>
      <x:c r="F5" s="14" t="str">
        <x:v>No application-caused hydration mismatch. Extension-only warnings may be ignored.</x:v>
      </x:c>
      <x:c r="G5" s="12" t="str">
        <x:v>P1</x:v>
      </x:c>
      <x:c r="H5" s="12" t="str">
        <x:v>All</x:v>
      </x:c>
      <x:c r="I5" s="12" t="str">
        <x:v>Not Started</x:v>
      </x:c>
      <x:c r="J5" s="16"/>
      <x:c r="K5" s="14" t="str"/>
      <x:c r="L5" s="14" t="str"/>
      <x:c r="M5" s="14" t="str">
        <x:v>N/A</x:v>
      </x:c>
      <x:c r="N5" s="14" t="str"/>
    </x:row>
    <x:row r="6">
      <x:c r="A6" s="12" t="str">
        <x:v>T005</x:v>
      </x:c>
      <x:c r="B6" s="12" t="str">
        <x:v>2. Public &amp; Auth</x:v>
      </x:c>
      <x:c r="C6" s="12" t="str">
        <x:v>Homepage</x:v>
      </x:c>
      <x:c r="D6" s="14" t="str">
        <x:v>Homepage layout</x:v>
      </x:c>
      <x:c r="E6" s="14" t="str">
        <x:v>Open public homepage desktop and mobile width.</x:v>
      </x:c>
      <x:c r="F6" s="14" t="str">
        <x:v>Hero, image, heading, buttons render correctly; no clipping.</x:v>
      </x:c>
      <x:c r="G6" s="12" t="str">
        <x:v>P1</x:v>
      </x:c>
      <x:c r="H6" s="12" t="str">
        <x:v>Public</x:v>
      </x:c>
      <x:c r="I6" s="12" t="str">
        <x:v>Not Started</x:v>
      </x:c>
      <x:c r="J6" s="16"/>
      <x:c r="K6" s="14" t="str"/>
      <x:c r="L6" s="14" t="str"/>
      <x:c r="M6" s="14" t="str">
        <x:v>N/A</x:v>
      </x:c>
      <x:c r="N6" s="14" t="str"/>
    </x:row>
    <x:row r="7">
      <x:c r="A7" s="12" t="str">
        <x:v>T006</x:v>
      </x:c>
      <x:c r="B7" s="12" t="str">
        <x:v>2. Public &amp; Auth</x:v>
      </x:c>
      <x:c r="C7" s="12" t="str">
        <x:v>Homepage</x:v>
      </x:c>
      <x:c r="D7" s="14" t="str">
        <x:v>Family onboarding CTA</x:v>
      </x:c>
      <x:c r="E7" s="14" t="str">
        <x:v>Click Start family onboarding.</x:v>
      </x:c>
      <x:c r="F7" s="14" t="str">
        <x:v>Opens onboarding flow.</x:v>
      </x:c>
      <x:c r="G7" s="12" t="str">
        <x:v>P0</x:v>
      </x:c>
      <x:c r="H7" s="12" t="str">
        <x:v>Parent</x:v>
      </x:c>
      <x:c r="I7" s="12" t="str">
        <x:v>Not Started</x:v>
      </x:c>
      <x:c r="J7" s="16"/>
      <x:c r="K7" s="14" t="str"/>
      <x:c r="L7" s="14" t="str"/>
      <x:c r="M7" s="14" t="str">
        <x:v>N/A</x:v>
      </x:c>
      <x:c r="N7" s="14" t="str"/>
    </x:row>
    <x:row r="8">
      <x:c r="A8" s="12" t="str">
        <x:v>T007</x:v>
      </x:c>
      <x:c r="B8" s="12" t="str">
        <x:v>2. Public &amp; Auth</x:v>
      </x:c>
      <x:c r="C8" s="12" t="str">
        <x:v>Auth</x:v>
      </x:c>
      <x:c r="D8" s="14" t="str">
        <x:v>Existing user sign-in</x:v>
      </x:c>
      <x:c r="E8" s="14" t="str">
        <x:v>Click Existing user? Sign in.</x:v>
      </x:c>
      <x:c r="F8" s="14" t="str">
        <x:v>Opens neutral sign-in flow.</x:v>
      </x:c>
      <x:c r="G8" s="12" t="str">
        <x:v>P0</x:v>
      </x:c>
      <x:c r="H8" s="12" t="str">
        <x:v>All</x:v>
      </x:c>
      <x:c r="I8" s="12" t="str">
        <x:v>Not Started</x:v>
      </x:c>
      <x:c r="J8" s="16"/>
      <x:c r="K8" s="14" t="str"/>
      <x:c r="L8" s="14" t="str"/>
      <x:c r="M8" s="14" t="str">
        <x:v>N/A</x:v>
      </x:c>
      <x:c r="N8" s="14" t="str"/>
    </x:row>
    <x:row r="9">
      <x:c r="A9" s="12" t="str">
        <x:v>T008</x:v>
      </x:c>
      <x:c r="B9" s="12" t="str">
        <x:v>2. Public &amp; Auth</x:v>
      </x:c>
      <x:c r="C9" s="12" t="str">
        <x:v>Auth</x:v>
      </x:c>
      <x:c r="D9" s="14" t="str">
        <x:v>Google account chooser</x:v>
      </x:c>
      <x:c r="E9" s="14" t="str">
        <x:v>Sign out, then sign in using Google again.</x:v>
      </x:c>
      <x:c r="F9" s="14" t="str">
        <x:v>Account chooser appears; previous account is not silently reused.</x:v>
      </x:c>
      <x:c r="G9" s="12" t="str">
        <x:v>P1</x:v>
      </x:c>
      <x:c r="H9" s="12" t="str">
        <x:v>All</x:v>
      </x:c>
      <x:c r="I9" s="12" t="str">
        <x:v>Not Started</x:v>
      </x:c>
      <x:c r="J9" s="16"/>
      <x:c r="K9" s="14" t="str"/>
      <x:c r="L9" s="14" t="str"/>
      <x:c r="M9" s="14" t="str">
        <x:v>N/A</x:v>
      </x:c>
      <x:c r="N9" s="14" t="str"/>
    </x:row>
    <x:row r="10">
      <x:c r="A10" s="12" t="str">
        <x:v>T009</x:v>
      </x:c>
      <x:c r="B10" s="12" t="str">
        <x:v>2. Public &amp; Auth</x:v>
      </x:c>
      <x:c r="C10" s="12" t="str">
        <x:v>Auth</x:v>
      </x:c>
      <x:c r="D10" s="14" t="str">
        <x:v>Role auto-detection</x:v>
      </x:c>
      <x:c r="E10" s="14" t="str">
        <x:v>Sign in as Admin, Trainer, Parent, Student.</x:v>
      </x:c>
      <x:c r="F10" s="14" t="str">
        <x:v>Each account lands in correct role portal without manual role selection.</x:v>
      </x:c>
      <x:c r="G10" s="12" t="str">
        <x:v>P0</x:v>
      </x:c>
      <x:c r="H10" s="12" t="str">
        <x:v>All</x:v>
      </x:c>
      <x:c r="I10" s="12" t="str">
        <x:v>Not Started</x:v>
      </x:c>
      <x:c r="J10" s="16"/>
      <x:c r="K10" s="14" t="str"/>
      <x:c r="L10" s="14" t="str"/>
      <x:c r="M10" s="14" t="str">
        <x:v>N/A</x:v>
      </x:c>
      <x:c r="N10" s="14" t="str"/>
    </x:row>
    <x:row r="11">
      <x:c r="A11" s="12" t="str">
        <x:v>T010</x:v>
      </x:c>
      <x:c r="B11" s="12" t="str">
        <x:v>2. Public &amp; Auth</x:v>
      </x:c>
      <x:c r="C11" s="12" t="str">
        <x:v>Security</x:v>
      </x:c>
      <x:c r="D11" s="14" t="str">
        <x:v>Unlinked user access</x:v>
      </x:c>
      <x:c r="E11" s="14" t="str">
        <x:v>Try sign-in with an unlinked account.</x:v>
      </x:c>
      <x:c r="F11" s="14" t="str">
        <x:v>No Admin/Trainer access is granted.</x:v>
      </x:c>
      <x:c r="G11" s="12" t="str">
        <x:v>P0</x:v>
      </x:c>
      <x:c r="H11" s="12" t="str">
        <x:v>All</x:v>
      </x:c>
      <x:c r="I11" s="12" t="str">
        <x:v>Not Started</x:v>
      </x:c>
      <x:c r="J11" s="16"/>
      <x:c r="K11" s="14" t="str"/>
      <x:c r="L11" s="14" t="str"/>
      <x:c r="M11" s="14" t="str">
        <x:v>N/A</x:v>
      </x:c>
      <x:c r="N11" s="14" t="str"/>
    </x:row>
    <x:row r="12">
      <x:c r="A12" s="12" t="str">
        <x:v>T011</x:v>
      </x:c>
      <x:c r="B12" s="12" t="str">
        <x:v>3. Parent Onboarding</x:v>
      </x:c>
      <x:c r="C12" s="12" t="str">
        <x:v>Contacts</x:v>
      </x:c>
      <x:c r="D12" s="14" t="str">
        <x:v>Primary guardian required</x:v>
      </x:c>
      <x:c r="E12" s="14" t="str">
        <x:v>Leave primary guardian blank and continue.</x:v>
      </x:c>
      <x:c r="F12" s="14" t="str">
        <x:v>Validation blocks continuation.</x:v>
      </x:c>
      <x:c r="G12" s="12" t="str">
        <x:v>P1</x:v>
      </x:c>
      <x:c r="H12" s="12" t="str">
        <x:v>Parent</x:v>
      </x:c>
      <x:c r="I12" s="12" t="str">
        <x:v>Not Started</x:v>
      </x:c>
      <x:c r="J12" s="16"/>
      <x:c r="K12" s="14" t="str"/>
      <x:c r="L12" s="14" t="str"/>
      <x:c r="M12" s="14" t="str">
        <x:v>N/A</x:v>
      </x:c>
      <x:c r="N12" s="14" t="str"/>
    </x:row>
    <x:row r="13">
      <x:c r="A13" s="12" t="str">
        <x:v>T012</x:v>
      </x:c>
      <x:c r="B13" s="12" t="str">
        <x:v>3. Parent Onboarding</x:v>
      </x:c>
      <x:c r="C13" s="12" t="str">
        <x:v>Contacts</x:v>
      </x:c>
      <x:c r="D13" s="14" t="str">
        <x:v>WhatsApp #1 required</x:v>
      </x:c>
      <x:c r="E13" s="14" t="str">
        <x:v>Leave first WhatsApp blank/invalid.</x:v>
      </x:c>
      <x:c r="F13" s="14" t="str">
        <x:v>Validation blocks continuation.</x:v>
      </x:c>
      <x:c r="G13" s="12" t="str">
        <x:v>P0</x:v>
      </x:c>
      <x:c r="H13" s="12" t="str">
        <x:v>Parent</x:v>
      </x:c>
      <x:c r="I13" s="12" t="str">
        <x:v>Not Started</x:v>
      </x:c>
      <x:c r="J13" s="16"/>
      <x:c r="K13" s="14" t="str"/>
      <x:c r="L13" s="14" t="str"/>
      <x:c r="M13" s="14" t="str">
        <x:v>N/A</x:v>
      </x:c>
      <x:c r="N13" s="14" t="str"/>
    </x:row>
    <x:row r="14">
      <x:c r="A14" s="12" t="str">
        <x:v>T013</x:v>
      </x:c>
      <x:c r="B14" s="12" t="str">
        <x:v>3. Parent Onboarding</x:v>
      </x:c>
      <x:c r="C14" s="12" t="str">
        <x:v>Contacts</x:v>
      </x:c>
      <x:c r="D14" s="14" t="str">
        <x:v>WhatsApp #2 required</x:v>
      </x:c>
      <x:c r="E14" s="14" t="str">
        <x:v>Leave second WhatsApp blank/invalid.</x:v>
      </x:c>
      <x:c r="F14" s="14" t="str">
        <x:v>Validation blocks continuation.</x:v>
      </x:c>
      <x:c r="G14" s="12" t="str">
        <x:v>P0</x:v>
      </x:c>
      <x:c r="H14" s="12" t="str">
        <x:v>Parent</x:v>
      </x:c>
      <x:c r="I14" s="12" t="str">
        <x:v>Not Started</x:v>
      </x:c>
      <x:c r="J14" s="16"/>
      <x:c r="K14" s="14" t="str"/>
      <x:c r="L14" s="14" t="str"/>
      <x:c r="M14" s="14" t="str">
        <x:v>N/A</x:v>
      </x:c>
      <x:c r="N14" s="14" t="str"/>
    </x:row>
    <x:row r="15">
      <x:c r="A15" s="12" t="str">
        <x:v>T014</x:v>
      </x:c>
      <x:c r="B15" s="12" t="str">
        <x:v>3. Parent Onboarding</x:v>
      </x:c>
      <x:c r="C15" s="12" t="str">
        <x:v>Contacts</x:v>
      </x:c>
      <x:c r="D15" s="14" t="str">
        <x:v>Distinct WhatsApp numbers</x:v>
      </x:c>
      <x:c r="E15" s="14" t="str">
        <x:v>Enter same number in both fields.</x:v>
      </x:c>
      <x:c r="F15" s="14" t="str">
        <x:v>Validation rejects duplicate numbers.</x:v>
      </x:c>
      <x:c r="G15" s="12" t="str">
        <x:v>P0</x:v>
      </x:c>
      <x:c r="H15" s="12" t="str">
        <x:v>Parent</x:v>
      </x:c>
      <x:c r="I15" s="12" t="str">
        <x:v>Not Started</x:v>
      </x:c>
      <x:c r="J15" s="16"/>
      <x:c r="K15" s="14" t="str"/>
      <x:c r="L15" s="14" t="str"/>
      <x:c r="M15" s="14" t="str">
        <x:v>N/A</x:v>
      </x:c>
      <x:c r="N15" s="14" t="str"/>
    </x:row>
    <x:row r="16">
      <x:c r="A16" s="12" t="str">
        <x:v>T015</x:v>
      </x:c>
      <x:c r="B16" s="12" t="str">
        <x:v>3. Parent Onboarding</x:v>
      </x:c>
      <x:c r="C16" s="12" t="str">
        <x:v>Contacts</x:v>
      </x:c>
      <x:c r="D16" s="14" t="str">
        <x:v>Optional second parent/guardian</x:v>
      </x:c>
      <x:c r="E16" s="14" t="str">
        <x:v>Use + Add another parent / guardian.</x:v>
      </x:c>
      <x:c r="F16" s="14" t="str">
        <x:v>Second contact details open only when requested.</x:v>
      </x:c>
      <x:c r="G16" s="12" t="str">
        <x:v>P1</x:v>
      </x:c>
      <x:c r="H16" s="12" t="str">
        <x:v>Parent</x:v>
      </x:c>
      <x:c r="I16" s="12" t="str">
        <x:v>Not Started</x:v>
      </x:c>
      <x:c r="J16" s="16"/>
      <x:c r="K16" s="14" t="str"/>
      <x:c r="L16" s="14" t="str"/>
      <x:c r="M16" s="14" t="str">
        <x:v>N/A</x:v>
      </x:c>
      <x:c r="N16" s="14" t="str"/>
    </x:row>
    <x:row r="17">
      <x:c r="A17" s="12" t="str">
        <x:v>T016</x:v>
      </x:c>
      <x:c r="B17" s="12" t="str">
        <x:v>3. Parent Onboarding</x:v>
      </x:c>
      <x:c r="C17" s="12" t="str">
        <x:v>Contacts</x:v>
      </x:c>
      <x:c r="D17" s="14" t="str">
        <x:v>Second relationship placeholder</x:v>
      </x:c>
      <x:c r="E17" s="14" t="str">
        <x:v>Open second guardian details.</x:v>
      </x:c>
      <x:c r="F17" s="14" t="str">
        <x:v>Relationship starts at Select relationship, not Father.</x:v>
      </x:c>
      <x:c r="G17" s="12" t="str">
        <x:v>P2</x:v>
      </x:c>
      <x:c r="H17" s="12" t="str">
        <x:v>Parent</x:v>
      </x:c>
      <x:c r="I17" s="12" t="str">
        <x:v>Not Started</x:v>
      </x:c>
      <x:c r="J17" s="16"/>
      <x:c r="K17" s="14" t="str"/>
      <x:c r="L17" s="14" t="str"/>
      <x:c r="M17" s="14" t="str">
        <x:v>N/A</x:v>
      </x:c>
      <x:c r="N17" s="14" t="str"/>
    </x:row>
    <x:row r="18">
      <x:c r="A18" s="12" t="str">
        <x:v>T017</x:v>
      </x:c>
      <x:c r="B18" s="12" t="str">
        <x:v>3. Parent Onboarding</x:v>
      </x:c>
      <x:c r="C18" s="12" t="str">
        <x:v>Family</x:v>
      </x:c>
      <x:c r="D18" s="14" t="str">
        <x:v>Country-State-City-Timezone</x:v>
      </x:c>
      <x:c r="E18" s="14" t="str">
        <x:v>Change country/state/city and inspect timezone behavior.</x:v>
      </x:c>
      <x:c r="F18" s="14" t="str">
        <x:v>Dependent fields clear/update correctly and timezone is valid.</x:v>
      </x:c>
      <x:c r="G18" s="12" t="str">
        <x:v>P1</x:v>
      </x:c>
      <x:c r="H18" s="12" t="str">
        <x:v>Parent</x:v>
      </x:c>
      <x:c r="I18" s="12" t="str">
        <x:v>Not Started</x:v>
      </x:c>
      <x:c r="J18" s="16"/>
      <x:c r="K18" s="14" t="str"/>
      <x:c r="L18" s="14" t="str"/>
      <x:c r="M18" s="14" t="str">
        <x:v>N/A</x:v>
      </x:c>
      <x:c r="N18" s="14" t="str"/>
    </x:row>
    <x:row r="19">
      <x:c r="A19" s="12" t="str">
        <x:v>T018</x:v>
      </x:c>
      <x:c r="B19" s="12" t="str">
        <x:v>3. Parent Onboarding</x:v>
      </x:c>
      <x:c r="C19" s="12" t="str">
        <x:v>Child</x:v>
      </x:c>
      <x:c r="D19" s="14" t="str">
        <x:v>Child profile required fields</x:v>
      </x:c>
      <x:c r="E19" s="14" t="str">
        <x:v>Enter child name, DOB, grade, school.</x:v>
      </x:c>
      <x:c r="F19" s="14" t="str">
        <x:v>Required fields validate and persist.</x:v>
      </x:c>
      <x:c r="G19" s="12" t="str">
        <x:v>P0</x:v>
      </x:c>
      <x:c r="H19" s="12" t="str">
        <x:v>Parent</x:v>
      </x:c>
      <x:c r="I19" s="12" t="str">
        <x:v>Not Started</x:v>
      </x:c>
      <x:c r="J19" s="16"/>
      <x:c r="K19" s="14" t="str"/>
      <x:c r="L19" s="14" t="str"/>
      <x:c r="M19" s="14" t="str">
        <x:v>N/A</x:v>
      </x:c>
      <x:c r="N19" s="14" t="str"/>
    </x:row>
    <x:row r="20">
      <x:c r="A20" s="12" t="str">
        <x:v>T019</x:v>
      </x:c>
      <x:c r="B20" s="12" t="str">
        <x:v>3. Parent Onboarding</x:v>
      </x:c>
      <x:c r="C20" s="12" t="str">
        <x:v>Learning</x:v>
      </x:c>
      <x:c r="D20" s="14" t="str">
        <x:v>Interests</x:v>
      </x:c>
      <x:c r="E20" s="14" t="str">
        <x:v>Select multiple interests.</x:v>
      </x:c>
      <x:c r="F20" s="14" t="str">
        <x:v>Selections persist and are submitted.</x:v>
      </x:c>
      <x:c r="G20" s="12" t="str">
        <x:v>P1</x:v>
      </x:c>
      <x:c r="H20" s="12" t="str">
        <x:v>Parent</x:v>
      </x:c>
      <x:c r="I20" s="12" t="str">
        <x:v>Not Started</x:v>
      </x:c>
      <x:c r="J20" s="16"/>
      <x:c r="K20" s="14" t="str"/>
      <x:c r="L20" s="14" t="str"/>
      <x:c r="M20" s="14" t="str">
        <x:v>N/A</x:v>
      </x:c>
      <x:c r="N20" s="14" t="str"/>
    </x:row>
    <x:row r="21">
      <x:c r="A21" s="12" t="str">
        <x:v>T020</x:v>
      </x:c>
      <x:c r="B21" s="12" t="str">
        <x:v>3. Parent Onboarding</x:v>
      </x:c>
      <x:c r="C21" s="12" t="str">
        <x:v>Learning</x:v>
      </x:c>
      <x:c r="D21" s="14" t="str">
        <x:v>Main goal</x:v>
      </x:c>
      <x:c r="E21" s="14" t="str">
        <x:v>Select main learning goal.</x:v>
      </x:c>
      <x:c r="F21" s="14" t="str">
        <x:v>Goal persists and is visible to Admin.</x:v>
      </x:c>
      <x:c r="G21" s="12" t="str">
        <x:v>P1</x:v>
      </x:c>
      <x:c r="H21" s="12" t="str">
        <x:v>Parent</x:v>
      </x:c>
      <x:c r="I21" s="12" t="str">
        <x:v>Not Started</x:v>
      </x:c>
      <x:c r="J21" s="16"/>
      <x:c r="K21" s="14" t="str"/>
      <x:c r="L21" s="14" t="str"/>
      <x:c r="M21" s="14" t="str">
        <x:v>N/A</x:v>
      </x:c>
      <x:c r="N21" s="14" t="str"/>
    </x:row>
    <x:row r="22">
      <x:c r="A22" s="12" t="str">
        <x:v>T021</x:v>
      </x:c>
      <x:c r="B22" s="12" t="str">
        <x:v>3. Parent Onboarding</x:v>
      </x:c>
      <x:c r="C22" s="12" t="str">
        <x:v>Learning</x:v>
      </x:c>
      <x:c r="D22" s="14" t="str">
        <x:v>Coding experience</x:v>
      </x:c>
      <x:c r="E22" s="14" t="str">
        <x:v>Set coding experience.</x:v>
      </x:c>
      <x:c r="F22" s="14" t="str">
        <x:v>Value persists and is visible to Admin.</x:v>
      </x:c>
      <x:c r="G22" s="12" t="str">
        <x:v>P1</x:v>
      </x:c>
      <x:c r="H22" s="12" t="str">
        <x:v>Parent</x:v>
      </x:c>
      <x:c r="I22" s="12" t="str">
        <x:v>Not Started</x:v>
      </x:c>
      <x:c r="J22" s="16"/>
      <x:c r="K22" s="14" t="str"/>
      <x:c r="L22" s="14" t="str"/>
      <x:c r="M22" s="14" t="str">
        <x:v>N/A</x:v>
      </x:c>
      <x:c r="N22" s="14" t="str"/>
    </x:row>
    <x:row r="23">
      <x:c r="A23" s="12" t="str">
        <x:v>T022</x:v>
      </x:c>
      <x:c r="B23" s="12" t="str">
        <x:v>3. Parent Onboarding</x:v>
      </x:c>
      <x:c r="C23" s="12" t="str">
        <x:v>Learning</x:v>
      </x:c>
      <x:c r="D23" s="14" t="str">
        <x:v>Robotics experience</x:v>
      </x:c>
      <x:c r="E23" s="14" t="str">
        <x:v>Set robotics experience.</x:v>
      </x:c>
      <x:c r="F23" s="14" t="str">
        <x:v>Value persists and is visible to Admin.</x:v>
      </x:c>
      <x:c r="G23" s="12" t="str">
        <x:v>P1</x:v>
      </x:c>
      <x:c r="H23" s="12" t="str">
        <x:v>Parent</x:v>
      </x:c>
      <x:c r="I23" s="12" t="str">
        <x:v>Not Started</x:v>
      </x:c>
      <x:c r="J23" s="16"/>
      <x:c r="K23" s="14" t="str"/>
      <x:c r="L23" s="14" t="str"/>
      <x:c r="M23" s="14" t="str">
        <x:v>N/A</x:v>
      </x:c>
      <x:c r="N23" s="14" t="str"/>
    </x:row>
    <x:row r="24">
      <x:c r="A24" s="12" t="str">
        <x:v>T023</x:v>
      </x:c>
      <x:c r="B24" s="12" t="str">
        <x:v>3. Parent Onboarding</x:v>
      </x:c>
      <x:c r="C24" s="12" t="str">
        <x:v>Learning</x:v>
      </x:c>
      <x:c r="D24" s="14" t="str">
        <x:v>Lead source</x:v>
      </x:c>
      <x:c r="E24" s="14" t="str">
        <x:v>Select how family heard about Robotronix.</x:v>
      </x:c>
      <x:c r="F24" s="14" t="str">
        <x:v>Value persists and is visible to Admin.</x:v>
      </x:c>
      <x:c r="G24" s="12" t="str">
        <x:v>P2</x:v>
      </x:c>
      <x:c r="H24" s="12" t="str">
        <x:v>Parent</x:v>
      </x:c>
      <x:c r="I24" s="12" t="str">
        <x:v>Not Started</x:v>
      </x:c>
      <x:c r="J24" s="16"/>
      <x:c r="K24" s="14" t="str"/>
      <x:c r="L24" s="14" t="str"/>
      <x:c r="M24" s="14" t="str">
        <x:v>N/A</x:v>
      </x:c>
      <x:c r="N24" s="14" t="str"/>
    </x:row>
    <x:row r="25">
      <x:c r="A25" s="12" t="str">
        <x:v>T024</x:v>
      </x:c>
      <x:c r="B25" s="12" t="str">
        <x:v>3. Parent Onboarding</x:v>
      </x:c>
      <x:c r="C25" s="12" t="str">
        <x:v>Timing</x:v>
      </x:c>
      <x:c r="D25" s="14" t="str">
        <x:v>Preferred days/windows</x:v>
      </x:c>
      <x:c r="E25" s="14" t="str">
        <x:v>Add at least 2 preferred timing windows.</x:v>
      </x:c>
      <x:c r="F25" s="14" t="str">
        <x:v>Both windows are retained in UI and submission.</x:v>
      </x:c>
      <x:c r="G25" s="12" t="str">
        <x:v>P0</x:v>
      </x:c>
      <x:c r="H25" s="12" t="str">
        <x:v>Parent</x:v>
      </x:c>
      <x:c r="I25" s="12" t="str">
        <x:v>Not Started</x:v>
      </x:c>
      <x:c r="J25" s="16"/>
      <x:c r="K25" s="14" t="str"/>
      <x:c r="L25" s="14" t="str"/>
      <x:c r="M25" s="14" t="str">
        <x:v>N/A</x:v>
      </x:c>
      <x:c r="N25" s="14" t="str"/>
    </x:row>
    <x:row r="26">
      <x:c r="A26" s="12" t="str">
        <x:v>T025</x:v>
      </x:c>
      <x:c r="B26" s="12" t="str">
        <x:v>3. Parent Onboarding</x:v>
      </x:c>
      <x:c r="C26" s="12" t="str">
        <x:v>Timing</x:v>
      </x:c>
      <x:c r="D26" s="14" t="str">
        <x:v>Multiple windows same day</x:v>
      </x:c>
      <x:c r="E26" s="14" t="str">
        <x:v>Add two non-overlapping windows on one day.</x:v>
      </x:c>
      <x:c r="F26" s="14" t="str">
        <x:v>Both are accepted and retained.</x:v>
      </x:c>
      <x:c r="G26" s="12" t="str">
        <x:v>P1</x:v>
      </x:c>
      <x:c r="H26" s="12" t="str">
        <x:v>Parent</x:v>
      </x:c>
      <x:c r="I26" s="12" t="str">
        <x:v>Not Started</x:v>
      </x:c>
      <x:c r="J26" s="16"/>
      <x:c r="K26" s="14" t="str"/>
      <x:c r="L26" s="14" t="str"/>
      <x:c r="M26" s="14" t="str">
        <x:v>N/A</x:v>
      </x:c>
      <x:c r="N26" s="14" t="str"/>
    </x:row>
    <x:row r="27">
      <x:c r="A27" s="12" t="str">
        <x:v>T026</x:v>
      </x:c>
      <x:c r="B27" s="12" t="str">
        <x:v>3. Parent Onboarding</x:v>
      </x:c>
      <x:c r="C27" s="12" t="str">
        <x:v>Timing</x:v>
      </x:c>
      <x:c r="D27" s="14" t="str">
        <x:v>Copy timings</x:v>
      </x:c>
      <x:c r="E27" s="14" t="str">
        <x:v>Use Copy to… on a timing day.</x:v>
      </x:c>
      <x:c r="F27" s="14" t="str">
        <x:v>Timings copy/merge correctly without accidental overlap.</x:v>
      </x:c>
      <x:c r="G27" s="12" t="str">
        <x:v>P1</x:v>
      </x:c>
      <x:c r="H27" s="12" t="str">
        <x:v>Parent</x:v>
      </x:c>
      <x:c r="I27" s="12" t="str">
        <x:v>Not Started</x:v>
      </x:c>
      <x:c r="J27" s="16"/>
      <x:c r="K27" s="14" t="str"/>
      <x:c r="L27" s="14" t="str"/>
      <x:c r="M27" s="14" t="str">
        <x:v>N/A</x:v>
      </x:c>
      <x:c r="N27" s="14" t="str"/>
    </x:row>
    <x:row r="28">
      <x:c r="A28" s="12" t="str">
        <x:v>T027</x:v>
      </x:c>
      <x:c r="B28" s="12" t="str">
        <x:v>3. Parent Onboarding</x:v>
      </x:c>
      <x:c r="C28" s="12" t="str">
        <x:v>Timing</x:v>
      </x:c>
      <x:c r="D28" s="14" t="str">
        <x:v>Overnight timing</x:v>
      </x:c>
      <x:c r="E28" s="14" t="str">
        <x:v>Create an overnight window and mark Ends next day.</x:v>
      </x:c>
      <x:c r="F28" s="14" t="str">
        <x:v>Window is interpreted as next day, not invalid reverse time.</x:v>
      </x:c>
      <x:c r="G28" s="12" t="str">
        <x:v>P2</x:v>
      </x:c>
      <x:c r="H28" s="12" t="str">
        <x:v>Parent</x:v>
      </x:c>
      <x:c r="I28" s="12" t="str">
        <x:v>Not Started</x:v>
      </x:c>
      <x:c r="J28" s="16"/>
      <x:c r="K28" s="14" t="str"/>
      <x:c r="L28" s="14" t="str"/>
      <x:c r="M28" s="14" t="str">
        <x:v>N/A</x:v>
      </x:c>
      <x:c r="N28" s="14" t="str"/>
    </x:row>
    <x:row r="29">
      <x:c r="A29" s="12" t="str">
        <x:v>T028</x:v>
      </x:c>
      <x:c r="B29" s="12" t="str">
        <x:v>3. Parent Onboarding</x:v>
      </x:c>
      <x:c r="C29" s="12" t="str">
        <x:v>Submit</x:v>
      </x:c>
      <x:c r="D29" s="14" t="str">
        <x:v>Parent consent</x:v>
      </x:c>
      <x:c r="E29" s="14" t="str">
        <x:v>Attempt submit without consent.</x:v>
      </x:c>
      <x:c r="F29" s="14" t="str">
        <x:v>Submission is blocked.</x:v>
      </x:c>
      <x:c r="G29" s="12" t="str">
        <x:v>P0</x:v>
      </x:c>
      <x:c r="H29" s="12" t="str">
        <x:v>Parent</x:v>
      </x:c>
      <x:c r="I29" s="12" t="str">
        <x:v>Not Started</x:v>
      </x:c>
      <x:c r="J29" s="16"/>
      <x:c r="K29" s="14" t="str"/>
      <x:c r="L29" s="14" t="str"/>
      <x:c r="M29" s="14" t="str">
        <x:v>N/A</x:v>
      </x:c>
      <x:c r="N29" s="14" t="str"/>
    </x:row>
    <x:row r="30">
      <x:c r="A30" s="12" t="str">
        <x:v>T029</x:v>
      </x:c>
      <x:c r="B30" s="12" t="str">
        <x:v>3. Parent Onboarding</x:v>
      </x:c>
      <x:c r="C30" s="12" t="str">
        <x:v>Submit</x:v>
      </x:c>
      <x:c r="D30" s="14" t="str">
        <x:v>Successful onboarding submission</x:v>
      </x:c>
      <x:c r="E30" s="14" t="str">
        <x:v>Submit valid onboarding.</x:v>
      </x:c>
      <x:c r="F30" s="14" t="str">
        <x:v>Single success state shown; no duplicate submission.</x:v>
      </x:c>
      <x:c r="G30" s="12" t="str">
        <x:v>P0</x:v>
      </x:c>
      <x:c r="H30" s="12" t="str">
        <x:v>Parent</x:v>
      </x:c>
      <x:c r="I30" s="12" t="str">
        <x:v>Not Started</x:v>
      </x:c>
      <x:c r="J30" s="16"/>
      <x:c r="K30" s="14" t="str"/>
      <x:c r="L30" s="14" t="str"/>
      <x:c r="M30" s="14" t="str">
        <x:v>N/A</x:v>
      </x:c>
      <x:c r="N30" s="14" t="str"/>
    </x:row>
    <x:row r="31">
      <x:c r="A31" s="12" t="str">
        <x:v>T030</x:v>
      </x:c>
      <x:c r="B31" s="12" t="str">
        <x:v>4. DB Verification</x:v>
      </x:c>
      <x:c r="C31" s="12" t="str">
        <x:v>Onboarding</x:v>
      </x:c>
      <x:c r="D31" s="14" t="str">
        <x:v>Onboarding row exists</x:v>
      </x:c>
      <x:c r="E31" s="14" t="str">
        <x:v>Query onboarding_submissions for SANITY child.</x:v>
      </x:c>
      <x:c r="F31" s="14" t="str">
        <x:v>Row exists with expected child/account data.</x:v>
      </x:c>
      <x:c r="G31" s="12" t="str">
        <x:v>P0</x:v>
      </x:c>
      <x:c r="H31" s="12" t="str">
        <x:v>Admin/DB</x:v>
      </x:c>
      <x:c r="I31" s="12" t="str">
        <x:v>Not Started</x:v>
      </x:c>
      <x:c r="J31" s="16"/>
      <x:c r="K31" s="14" t="str"/>
      <x:c r="L31" s="14" t="str"/>
      <x:c r="M31" s="14" t="str">
        <x:v>N/A</x:v>
      </x:c>
      <x:c r="N31" s="14" t="str"/>
    </x:row>
    <x:row r="32">
      <x:c r="A32" s="12" t="str">
        <x:v>T031</x:v>
      </x:c>
      <x:c r="B32" s="12" t="str">
        <x:v>4. DB Verification</x:v>
      </x:c>
      <x:c r="C32" s="12" t="str">
        <x:v>Contacts</x:v>
      </x:c>
      <x:c r="D32" s="14" t="str">
        <x:v>WhatsApp values stored</x:v>
      </x:c>
      <x:c r="E32" s="14" t="str">
        <x:v>Check primary_whatsapp and alternate_whatsapp.</x:v>
      </x:c>
      <x:c r="F32" s="14" t="str">
        <x:v>Both distinct WhatsApp numbers are stored correctly.</x:v>
      </x:c>
      <x:c r="G32" s="12" t="str">
        <x:v>P0</x:v>
      </x:c>
      <x:c r="H32" s="12" t="str">
        <x:v>Admin/DB</x:v>
      </x:c>
      <x:c r="I32" s="12" t="str">
        <x:v>Not Started</x:v>
      </x:c>
      <x:c r="J32" s="16"/>
      <x:c r="K32" s="14" t="str"/>
      <x:c r="L32" s="14" t="str"/>
      <x:c r="M32" s="14" t="str">
        <x:v>N/A</x:v>
      </x:c>
      <x:c r="N32" s="14" t="str"/>
    </x:row>
    <x:row r="33">
      <x:c r="A33" s="12" t="str">
        <x:v>T032</x:v>
      </x:c>
      <x:c r="B33" s="12" t="str">
        <x:v>4. DB Verification</x:v>
      </x:c>
      <x:c r="C33" s="12" t="str">
        <x:v>Timing</x:v>
      </x:c>
      <x:c r="D33" s="14" t="str">
        <x:v>Preferred timings stored</x:v>
      </x:c>
      <x:c r="E33" s="14" t="str">
        <x:v>Check preferred_class_days and preferred_time_windows.</x:v>
      </x:c>
      <x:c r="F33" s="14" t="str">
        <x:v>Entered timing data is present in database.</x:v>
      </x:c>
      <x:c r="G33" s="12" t="str">
        <x:v>P0</x:v>
      </x:c>
      <x:c r="H33" s="12" t="str">
        <x:v>Admin/DB</x:v>
      </x:c>
      <x:c r="I33" s="12" t="str">
        <x:v>Not Started</x:v>
      </x:c>
      <x:c r="J33" s="16"/>
      <x:c r="K33" s="14" t="str"/>
      <x:c r="L33" s="14" t="str"/>
      <x:c r="M33" s="14" t="str">
        <x:v>N/A</x:v>
      </x:c>
      <x:c r="N33" s="14" t="str"/>
    </x:row>
    <x:row r="34">
      <x:c r="A34" s="12" t="str">
        <x:v>T033</x:v>
      </x:c>
      <x:c r="B34" s="12" t="str">
        <x:v>4. DB Verification</x:v>
      </x:c>
      <x:c r="C34" s="12" t="str">
        <x:v>Learning</x:v>
      </x:c>
      <x:c r="D34" s="14" t="str">
        <x:v>Learning profile stored</x:v>
      </x:c>
      <x:c r="E34" s="14" t="str">
        <x:v>Check interests, goal, coding/robotics experience.</x:v>
      </x:c>
      <x:c r="F34" s="14" t="str">
        <x:v>All learning profile values are stored correctly.</x:v>
      </x:c>
      <x:c r="G34" s="12" t="str">
        <x:v>P1</x:v>
      </x:c>
      <x:c r="H34" s="12" t="str">
        <x:v>Admin/DB</x:v>
      </x:c>
      <x:c r="I34" s="12" t="str">
        <x:v>Not Started</x:v>
      </x:c>
      <x:c r="J34" s="16"/>
      <x:c r="K34" s="14" t="str"/>
      <x:c r="L34" s="14" t="str"/>
      <x:c r="M34" s="14" t="str">
        <x:v>N/A</x:v>
      </x:c>
      <x:c r="N34" s="14" t="str"/>
    </x:row>
    <x:row r="35">
      <x:c r="A35" s="12" t="str">
        <x:v>T034</x:v>
      </x:c>
      <x:c r="B35" s="12" t="str">
        <x:v>5. Admin Onboarding</x:v>
      </x:c>
      <x:c r="C35" s="12" t="str">
        <x:v>Notifications</x:v>
      </x:c>
      <x:c r="D35" s="14" t="str">
        <x:v>New onboarding Admin notification</x:v>
      </x:c>
      <x:c r="E35" s="14" t="str">
        <x:v>Submit a new family and inspect Admin notifications.</x:v>
      </x:c>
      <x:c r="F35" s="14" t="str">
        <x:v>Admin receives actionable new-onboarding notification/link.</x:v>
      </x:c>
      <x:c r="G35" s="12" t="str">
        <x:v>P1</x:v>
      </x:c>
      <x:c r="H35" s="12" t="str">
        <x:v>Admin</x:v>
      </x:c>
      <x:c r="I35" s="12" t="str">
        <x:v>Not Started</x:v>
      </x:c>
      <x:c r="J35" s="16"/>
      <x:c r="K35" s="14" t="str"/>
      <x:c r="L35" s="14" t="str"/>
      <x:c r="M35" s="14" t="str">
        <x:v>N/A</x:v>
      </x:c>
      <x:c r="N35" s="14" t="str"/>
    </x:row>
    <x:row r="36">
      <x:c r="A36" s="12" t="str">
        <x:v>T035</x:v>
      </x:c>
      <x:c r="B36" s="12" t="str">
        <x:v>5. Admin Onboarding</x:v>
      </x:c>
      <x:c r="C36" s="12" t="str">
        <x:v>Queue</x:v>
      </x:c>
      <x:c r="D36" s="14" t="str">
        <x:v>Submission appears in Admin Onboarding</x:v>
      </x:c>
      <x:c r="E36" s="14" t="str">
        <x:v>Open Admin → Onboarding.</x:v>
      </x:c>
      <x:c r="F36" s="14" t="str">
        <x:v>New SANITY submission appears immediately.</x:v>
      </x:c>
      <x:c r="G36" s="12" t="str">
        <x:v>P0</x:v>
      </x:c>
      <x:c r="H36" s="12" t="str">
        <x:v>Admin</x:v>
      </x:c>
      <x:c r="I36" s="12" t="str">
        <x:v>Not Started</x:v>
      </x:c>
      <x:c r="J36" s="16"/>
      <x:c r="K36" s="14" t="str"/>
      <x:c r="L36" s="14" t="str"/>
      <x:c r="M36" s="14" t="str">
        <x:v>N/A</x:v>
      </x:c>
      <x:c r="N36" s="14" t="str"/>
    </x:row>
    <x:row r="37">
      <x:c r="A37" s="12" t="str">
        <x:v>T036</x:v>
      </x:c>
      <x:c r="B37" s="12" t="str">
        <x:v>5. Admin Onboarding</x:v>
      </x:c>
      <x:c r="C37" s="12" t="str">
        <x:v>Family</x:v>
      </x:c>
      <x:c r="D37" s="14" t="str">
        <x:v>Submitted family data</x:v>
      </x:c>
      <x:c r="E37" s="14" t="str">
        <x:v>Open onboarding detail.</x:v>
      </x:c>
      <x:c r="F37" s="14" t="str">
        <x:v>Guardian, WhatsApp, child, school, timezone are correct.</x:v>
      </x:c>
      <x:c r="G37" s="12" t="str">
        <x:v>P0</x:v>
      </x:c>
      <x:c r="H37" s="12" t="str">
        <x:v>Admin</x:v>
      </x:c>
      <x:c r="I37" s="12" t="str">
        <x:v>Not Started</x:v>
      </x:c>
      <x:c r="J37" s="16"/>
      <x:c r="K37" s="14" t="str"/>
      <x:c r="L37" s="14" t="str"/>
      <x:c r="M37" s="14" t="str">
        <x:v>N/A</x:v>
      </x:c>
      <x:c r="N37" s="14" t="str"/>
    </x:row>
    <x:row r="38">
      <x:c r="A38" s="12" t="str">
        <x:v>T037</x:v>
      </x:c>
      <x:c r="B38" s="12" t="str">
        <x:v>5. Admin Onboarding</x:v>
      </x:c>
      <x:c r="C38" s="12" t="str">
        <x:v>Learning</x:v>
      </x:c>
      <x:c r="D38" s="14" t="str">
        <x:v>Learning profile display</x:v>
      </x:c>
      <x:c r="E38" s="14" t="str">
        <x:v>Inspect Interests &amp; starting point.</x:v>
      </x:c>
      <x:c r="F38" s="14" t="str">
        <x:v>Interests, goal, coding/robotics experience and source match submission.</x:v>
      </x:c>
      <x:c r="G38" s="12" t="str">
        <x:v>P1</x:v>
      </x:c>
      <x:c r="H38" s="12" t="str">
        <x:v>Admin</x:v>
      </x:c>
      <x:c r="I38" s="12" t="str">
        <x:v>Not Started</x:v>
      </x:c>
      <x:c r="J38" s="16"/>
      <x:c r="K38" s="14" t="str"/>
      <x:c r="L38" s="14" t="str"/>
      <x:c r="M38" s="14" t="str">
        <x:v>N/A</x:v>
      </x:c>
      <x:c r="N38" s="14" t="str"/>
    </x:row>
    <x:row r="39">
      <x:c r="A39" s="12" t="str">
        <x:v>T038</x:v>
      </x:c>
      <x:c r="B39" s="12" t="str">
        <x:v>5. Admin Onboarding</x:v>
      </x:c>
      <x:c r="C39" s="12" t="str">
        <x:v>Timing</x:v>
      </x:c>
      <x:c r="D39" s="14" t="str">
        <x:v>Family availability display</x:v>
      </x:c>
      <x:c r="E39" s="14" t="str">
        <x:v>Inspect Family Availability/Scheduling Assist.</x:v>
      </x:c>
      <x:c r="F39" s="14" t="str">
        <x:v>Submitted timing windows appear and parse correctly.</x:v>
      </x:c>
      <x:c r="G39" s="12" t="str">
        <x:v>P0</x:v>
      </x:c>
      <x:c r="H39" s="12" t="str">
        <x:v>Admin</x:v>
      </x:c>
      <x:c r="I39" s="12" t="str">
        <x:v>Not Started</x:v>
      </x:c>
      <x:c r="J39" s="16"/>
      <x:c r="K39" s="14" t="str"/>
      <x:c r="L39" s="14" t="str"/>
      <x:c r="M39" s="14" t="str">
        <x:v>N/A</x:v>
      </x:c>
      <x:c r="N39" s="14" t="str"/>
    </x:row>
    <x:row r="40">
      <x:c r="A40" s="12" t="str">
        <x:v>T039</x:v>
      </x:c>
      <x:c r="B40" s="12" t="str">
        <x:v>5. Admin Onboarding</x:v>
      </x:c>
      <x:c r="C40" s="12" t="str">
        <x:v>Timing</x:v>
      </x:c>
      <x:c r="D40" s="14" t="str">
        <x:v>IST + family local conversion</x:v>
      </x:c>
      <x:c r="E40" s="14" t="str">
        <x:v>Compare timing display.</x:v>
      </x:c>
      <x:c r="F40" s="14" t="str">
        <x:v>Admin sees correct IST plus family-local reference.</x:v>
      </x:c>
      <x:c r="G40" s="12" t="str">
        <x:v>P1</x:v>
      </x:c>
      <x:c r="H40" s="12" t="str">
        <x:v>Admin</x:v>
      </x:c>
      <x:c r="I40" s="12" t="str">
        <x:v>Not Started</x:v>
      </x:c>
      <x:c r="J40" s="16"/>
      <x:c r="K40" s="14" t="str"/>
      <x:c r="L40" s="14" t="str"/>
      <x:c r="M40" s="14" t="str">
        <x:v>N/A</x:v>
      </x:c>
      <x:c r="N40" s="14" t="str"/>
    </x:row>
    <x:row r="41">
      <x:c r="A41" s="12" t="str">
        <x:v>T040</x:v>
      </x:c>
      <x:c r="B41" s="12" t="str">
        <x:v>5. Admin Onboarding</x:v>
      </x:c>
      <x:c r="C41" s="12" t="str">
        <x:v>Draft</x:v>
      </x:c>
      <x:c r="D41" s="14" t="str">
        <x:v>Save draft &amp; reload</x:v>
      </x:c>
      <x:c r="E41" s="14" t="str">
        <x:v>Modify setup, Save draft, refresh page.</x:v>
      </x:c>
      <x:c r="F41" s="14" t="str">
        <x:v>Changes persist after reload.</x:v>
      </x:c>
      <x:c r="G41" s="12" t="str">
        <x:v>P0</x:v>
      </x:c>
      <x:c r="H41" s="12" t="str">
        <x:v>Admin</x:v>
      </x:c>
      <x:c r="I41" s="12" t="str">
        <x:v>Not Started</x:v>
      </x:c>
      <x:c r="J41" s="16"/>
      <x:c r="K41" s="14" t="str"/>
      <x:c r="L41" s="14" t="str"/>
      <x:c r="M41" s="14" t="str">
        <x:v>N/A</x:v>
      </x:c>
      <x:c r="N41" s="14" t="str"/>
    </x:row>
    <x:row r="42">
      <x:c r="A42" s="12" t="str">
        <x:v>T041</x:v>
      </x:c>
      <x:c r="B42" s="12" t="str">
        <x:v>6. Trainer Setup</x:v>
      </x:c>
      <x:c r="C42" s="12" t="str">
        <x:v>Trainer</x:v>
      </x:c>
      <x:c r="D42" s="14" t="str">
        <x:v>Create trainer</x:v>
      </x:c>
      <x:c r="E42" s="14" t="str">
        <x:v>Create SANITY trainer.</x:v>
      </x:c>
      <x:c r="F42" s="14" t="str">
        <x:v>Trainer created once and success message is shown.</x:v>
      </x:c>
      <x:c r="G42" s="12" t="str">
        <x:v>P0</x:v>
      </x:c>
      <x:c r="H42" s="12" t="str">
        <x:v>Admin</x:v>
      </x:c>
      <x:c r="I42" s="12" t="str">
        <x:v>Not Started</x:v>
      </x:c>
      <x:c r="J42" s="16"/>
      <x:c r="K42" s="14" t="str"/>
      <x:c r="L42" s="14" t="str"/>
      <x:c r="M42" s="14" t="str">
        <x:v>N/A</x:v>
      </x:c>
      <x:c r="N42" s="14" t="str"/>
    </x:row>
    <x:row r="43">
      <x:c r="A43" s="12" t="str">
        <x:v>T042</x:v>
      </x:c>
      <x:c r="B43" s="12" t="str">
        <x:v>6. Trainer Setup</x:v>
      </x:c>
      <x:c r="C43" s="12" t="str">
        <x:v>Trainer</x:v>
      </x:c>
      <x:c r="D43" s="14" t="str">
        <x:v>Approved teaching areas</x:v>
      </x:c>
      <x:c r="E43" s="14" t="str">
        <x:v>Assign at least one course to trainer.</x:v>
      </x:c>
      <x:c r="F43" s="14" t="str">
        <x:v>Course appears as approved teaching area even with zero learners.</x:v>
      </x:c>
      <x:c r="G43" s="12" t="str">
        <x:v>P1</x:v>
      </x:c>
      <x:c r="H43" s="12" t="str">
        <x:v>Admin/Trainer</x:v>
      </x:c>
      <x:c r="I43" s="12" t="str">
        <x:v>Not Started</x:v>
      </x:c>
      <x:c r="J43" s="16"/>
      <x:c r="K43" s="14" t="str"/>
      <x:c r="L43" s="14" t="str"/>
      <x:c r="M43" s="14" t="str">
        <x:v>N/A</x:v>
      </x:c>
      <x:c r="N43" s="14" t="str"/>
    </x:row>
    <x:row r="44">
      <x:c r="A44" s="12" t="str">
        <x:v>T043</x:v>
      </x:c>
      <x:c r="B44" s="12" t="str">
        <x:v>6. Trainer Setup</x:v>
      </x:c>
      <x:c r="C44" s="12" t="str">
        <x:v>Availability</x:v>
      </x:c>
      <x:c r="D44" s="14" t="str">
        <x:v>Recurring availability</x:v>
      </x:c>
      <x:c r="E44" s="14" t="str">
        <x:v>Configure multiple weekly working windows.</x:v>
      </x:c>
      <x:c r="F44" s="14" t="str">
        <x:v>Saved windows persist and are visible to Admin/Trainer.</x:v>
      </x:c>
      <x:c r="G44" s="12" t="str">
        <x:v>P0</x:v>
      </x:c>
      <x:c r="H44" s="12" t="str">
        <x:v>Admin/Trainer</x:v>
      </x:c>
      <x:c r="I44" s="12" t="str">
        <x:v>Not Started</x:v>
      </x:c>
      <x:c r="J44" s="16"/>
      <x:c r="K44" s="14" t="str"/>
      <x:c r="L44" s="14" t="str"/>
      <x:c r="M44" s="14" t="str">
        <x:v>N/A</x:v>
      </x:c>
      <x:c r="N44" s="14" t="str"/>
    </x:row>
    <x:row r="45">
      <x:c r="A45" s="12" t="str">
        <x:v>T044</x:v>
      </x:c>
      <x:c r="B45" s="12" t="str">
        <x:v>6. Trainer Setup</x:v>
      </x:c>
      <x:c r="C45" s="12" t="str">
        <x:v>Availability</x:v>
      </x:c>
      <x:c r="D45" s="14" t="str">
        <x:v>Multiple slots per day</x:v>
      </x:c>
      <x:c r="E45" s="14" t="str">
        <x:v>Add multiple slots to one day.</x:v>
      </x:c>
      <x:c r="F45" s="14" t="str">
        <x:v>All non-overlapping slots save correctly.</x:v>
      </x:c>
      <x:c r="G45" s="12" t="str">
        <x:v>P1</x:v>
      </x:c>
      <x:c r="H45" s="12" t="str">
        <x:v>Trainer</x:v>
      </x:c>
      <x:c r="I45" s="12" t="str">
        <x:v>Not Started</x:v>
      </x:c>
      <x:c r="J45" s="16"/>
      <x:c r="K45" s="14" t="str"/>
      <x:c r="L45" s="14" t="str"/>
      <x:c r="M45" s="14" t="str">
        <x:v>N/A</x:v>
      </x:c>
      <x:c r="N45" s="14" t="str"/>
    </x:row>
    <x:row r="46">
      <x:c r="A46" s="12" t="str">
        <x:v>T045</x:v>
      </x:c>
      <x:c r="B46" s="12" t="str">
        <x:v>6. Trainer Setup</x:v>
      </x:c>
      <x:c r="C46" s="12" t="str">
        <x:v>Availability</x:v>
      </x:c>
      <x:c r="D46" s="14" t="str">
        <x:v>Date override - leave</x:v>
      </x:c>
      <x:c r="E46" s="14" t="str">
        <x:v>Add an unavailable/leave override.</x:v>
      </x:c>
      <x:c r="F46" s="14" t="str">
        <x:v>Override is stored and affects scheduling.</x:v>
      </x:c>
      <x:c r="G46" s="12" t="str">
        <x:v>P0</x:v>
      </x:c>
      <x:c r="H46" s="12" t="str">
        <x:v>Trainer</x:v>
      </x:c>
      <x:c r="I46" s="12" t="str">
        <x:v>Not Started</x:v>
      </x:c>
      <x:c r="J46" s="16"/>
      <x:c r="K46" s="14" t="str"/>
      <x:c r="L46" s="14" t="str"/>
      <x:c r="M46" s="14" t="str">
        <x:v>N/A</x:v>
      </x:c>
      <x:c r="N46" s="14" t="str"/>
    </x:row>
    <x:row r="47">
      <x:c r="A47" s="12" t="str">
        <x:v>T046</x:v>
      </x:c>
      <x:c r="B47" s="12" t="str">
        <x:v>6. Trainer Setup</x:v>
      </x:c>
      <x:c r="C47" s="12" t="str">
        <x:v>Availability</x:v>
      </x:c>
      <x:c r="D47" s="14" t="str">
        <x:v>Date override - special working</x:v>
      </x:c>
      <x:c r="E47" s="14" t="str">
        <x:v>Add special availability override.</x:v>
      </x:c>
      <x:c r="F47" s="14" t="str">
        <x:v>Override is stored and affects scheduling.</x:v>
      </x:c>
      <x:c r="G47" s="12" t="str">
        <x:v>P1</x:v>
      </x:c>
      <x:c r="H47" s="12" t="str">
        <x:v>Trainer</x:v>
      </x:c>
      <x:c r="I47" s="12" t="str">
        <x:v>Not Started</x:v>
      </x:c>
      <x:c r="J47" s="16"/>
      <x:c r="K47" s="14" t="str"/>
      <x:c r="L47" s="14" t="str"/>
      <x:c r="M47" s="14" t="str">
        <x:v>N/A</x:v>
      </x:c>
      <x:c r="N47" s="14" t="str"/>
    </x:row>
    <x:row r="48">
      <x:c r="A48" s="12" t="str">
        <x:v>T047</x:v>
      </x:c>
      <x:c r="B48" s="12" t="str">
        <x:v>6. Trainer Setup</x:v>
      </x:c>
      <x:c r="C48" s="12" t="str">
        <x:v>Profile</x:v>
      </x:c>
      <x:c r="D48" s="14" t="str">
        <x:v>Trainer profile details</x:v>
      </x:c>
      <x:c r="E48" s="14" t="str">
        <x:v>Verify personal details after save/reload.</x:v>
      </x:c>
      <x:c r="F48" s="14" t="str">
        <x:v>Profile values persist.</x:v>
      </x:c>
      <x:c r="G48" s="12" t="str">
        <x:v>P1</x:v>
      </x:c>
      <x:c r="H48" s="12" t="str">
        <x:v>Trainer</x:v>
      </x:c>
      <x:c r="I48" s="12" t="str">
        <x:v>Not Started</x:v>
      </x:c>
      <x:c r="J48" s="16"/>
      <x:c r="K48" s="14" t="str"/>
      <x:c r="L48" s="14" t="str"/>
      <x:c r="M48" s="14" t="str">
        <x:v>N/A</x:v>
      </x:c>
      <x:c r="N48" s="14" t="str"/>
    </x:row>
    <x:row r="49">
      <x:c r="A49" s="12" t="str">
        <x:v>T048</x:v>
      </x:c>
      <x:c r="B49" s="12" t="str">
        <x:v>6. Trainer Setup</x:v>
      </x:c>
      <x:c r="C49" s="12" t="str">
        <x:v>Finance</x:v>
      </x:c>
      <x:c r="D49" s="14" t="str">
        <x:v>Trainer payout details Admin view</x:v>
      </x:c>
      <x:c r="E49" s="14" t="str">
        <x:v>Enter approved payout details from Admin.</x:v>
      </x:c>
      <x:c r="F49" s="14" t="str">
        <x:v>Approved masked summary is visible.</x:v>
      </x:c>
      <x:c r="G49" s="12" t="str">
        <x:v>P1</x:v>
      </x:c>
      <x:c r="H49" s="12" t="str">
        <x:v>Admin</x:v>
      </x:c>
      <x:c r="I49" s="12" t="str">
        <x:v>Not Started</x:v>
      </x:c>
      <x:c r="J49" s="16"/>
      <x:c r="K49" s="14" t="str"/>
      <x:c r="L49" s="14" t="str"/>
      <x:c r="M49" s="14" t="str">
        <x:v>N/A</x:v>
      </x:c>
      <x:c r="N49" s="14" t="str"/>
    </x:row>
    <x:row r="50">
      <x:c r="A50" s="12" t="str">
        <x:v>T049</x:v>
      </x:c>
      <x:c r="B50" s="12" t="str">
        <x:v>6. Trainer Setup</x:v>
      </x:c>
      <x:c r="C50" s="12" t="str">
        <x:v>Finance</x:v>
      </x:c>
      <x:c r="D50" s="14" t="str">
        <x:v>Trainer payout details Trainer view</x:v>
      </x:c>
      <x:c r="E50" s="14" t="str">
        <x:v>Login as trainer and inspect My Profile.</x:v>
      </x:c>
      <x:c r="F50" s="14" t="str">
        <x:v>Trainer sees own approved payout details masked/read-only.</x:v>
      </x:c>
      <x:c r="G50" s="12" t="str">
        <x:v>P0</x:v>
      </x:c>
      <x:c r="H50" s="12" t="str">
        <x:v>Trainer</x:v>
      </x:c>
      <x:c r="I50" s="12" t="str">
        <x:v>Not Started</x:v>
      </x:c>
      <x:c r="J50" s="16"/>
      <x:c r="K50" s="14" t="str"/>
      <x:c r="L50" s="14" t="str"/>
      <x:c r="M50" s="14" t="str">
        <x:v>N/A</x:v>
      </x:c>
      <x:c r="N50" s="14" t="str"/>
    </x:row>
    <x:row r="51">
      <x:c r="A51" s="12" t="str">
        <x:v>T050</x:v>
      </x:c>
      <x:c r="B51" s="12" t="str">
        <x:v>6. Trainer Setup</x:v>
      </x:c>
      <x:c r="C51" s="12" t="str">
        <x:v>Finance</x:v>
      </x:c>
      <x:c r="D51" s="14" t="str">
        <x:v>Finance change request</x:v>
      </x:c>
      <x:c r="E51" s="14" t="str">
        <x:v>Trainer submits payout detail change.</x:v>
      </x:c>
      <x:c r="F51" s="14" t="str">
        <x:v>Request remains pending until Admin action.</x:v>
      </x:c>
      <x:c r="G51" s="12" t="str">
        <x:v>P1</x:v>
      </x:c>
      <x:c r="H51" s="12" t="str">
        <x:v>Trainer/Admin</x:v>
      </x:c>
      <x:c r="I51" s="12" t="str">
        <x:v>Not Started</x:v>
      </x:c>
      <x:c r="J51" s="16"/>
      <x:c r="K51" s="14" t="str"/>
      <x:c r="L51" s="14" t="str"/>
      <x:c r="M51" s="14" t="str">
        <x:v>N/A</x:v>
      </x:c>
      <x:c r="N51" s="14" t="str"/>
    </x:row>
    <x:row r="52">
      <x:c r="A52" s="12" t="str">
        <x:v>T051</x:v>
      </x:c>
      <x:c r="B52" s="12" t="str">
        <x:v>6. Trainer Setup</x:v>
      </x:c>
      <x:c r="C52" s="12" t="str">
        <x:v>Finance</x:v>
      </x:c>
      <x:c r="D52" s="14" t="str">
        <x:v>Admin approve/reject payout change</x:v>
      </x:c>
      <x:c r="E52" s="14" t="str">
        <x:v>Review trainer finance request.</x:v>
      </x:c>
      <x:c r="F52" s="14" t="str">
        <x:v>Approved data changes only after approval; reject/correction works.</x:v>
      </x:c>
      <x:c r="G52" s="12" t="str">
        <x:v>P1</x:v>
      </x:c>
      <x:c r="H52" s="12" t="str">
        <x:v>Admin</x:v>
      </x:c>
      <x:c r="I52" s="12" t="str">
        <x:v>Not Started</x:v>
      </x:c>
      <x:c r="J52" s="16"/>
      <x:c r="K52" s="14" t="str"/>
      <x:c r="L52" s="14" t="str"/>
      <x:c r="M52" s="14" t="str">
        <x:v>N/A</x:v>
      </x:c>
      <x:c r="N52" s="14" t="str"/>
    </x:row>
    <x:row r="53">
      <x:c r="A53" s="12" t="str">
        <x:v>T052</x:v>
      </x:c>
      <x:c r="B53" s="12" t="str">
        <x:v>6. Trainer Setup</x:v>
      </x:c>
      <x:c r="C53" s="12" t="str">
        <x:v>Rate Card</x:v>
      </x:c>
      <x:c r="D53" s="14" t="str">
        <x:v>Admin rate card summary</x:v>
      </x:c>
      <x:c r="E53" s="14" t="str">
        <x:v>Open Trainer → Admin &amp; Finance.</x:v>
      </x:c>
      <x:c r="F53" s="14" t="str">
        <x:v>Current effective rate card is visible directly.</x:v>
      </x:c>
      <x:c r="G53" s="12" t="str">
        <x:v>P1</x:v>
      </x:c>
      <x:c r="H53" s="12" t="str">
        <x:v>Admin</x:v>
      </x:c>
      <x:c r="I53" s="12" t="str">
        <x:v>Not Started</x:v>
      </x:c>
      <x:c r="J53" s="16"/>
      <x:c r="K53" s="14" t="str"/>
      <x:c r="L53" s="14" t="str"/>
      <x:c r="M53" s="14" t="str">
        <x:v>N/A</x:v>
      </x:c>
      <x:c r="N53" s="14" t="str"/>
    </x:row>
    <x:row r="54">
      <x:c r="A54" s="12" t="str">
        <x:v>T053</x:v>
      </x:c>
      <x:c r="B54" s="12" t="str">
        <x:v>6. Trainer Setup</x:v>
      </x:c>
      <x:c r="C54" s="12" t="str">
        <x:v>Rate Card</x:v>
      </x:c>
      <x:c r="D54" s="14" t="str">
        <x:v>Trainer rate card read-only</x:v>
      </x:c>
      <x:c r="E54" s="14" t="str">
        <x:v>Open Trainer → My Profile/My Earnings.</x:v>
      </x:c>
      <x:c r="F54" s="14" t="str">
        <x:v>Same effective rate card is visible with no edit control.</x:v>
      </x:c>
      <x:c r="G54" s="12" t="str">
        <x:v>P0</x:v>
      </x:c>
      <x:c r="H54" s="12" t="str">
        <x:v>Trainer</x:v>
      </x:c>
      <x:c r="I54" s="12" t="str">
        <x:v>Not Started</x:v>
      </x:c>
      <x:c r="J54" s="16"/>
      <x:c r="K54" s="14" t="str"/>
      <x:c r="L54" s="14" t="str"/>
      <x:c r="M54" s="14" t="str">
        <x:v>N/A</x:v>
      </x:c>
      <x:c r="N54" s="14" t="str"/>
    </x:row>
    <x:row r="55">
      <x:c r="A55" s="12" t="str">
        <x:v>T054</x:v>
      </x:c>
      <x:c r="B55" s="12" t="str">
        <x:v>7. Scheduling &amp; Activation</x:v>
      </x:c>
      <x:c r="C55" s="12" t="str">
        <x:v>Assignment</x:v>
      </x:c>
      <x:c r="D55" s="14" t="str">
        <x:v>Assign course and trainer</x:v>
      </x:c>
      <x:c r="E55" s="14" t="str">
        <x:v>Choose course + SANITY trainer for onboarding.</x:v>
      </x:c>
      <x:c r="F55" s="14" t="str">
        <x:v>Eligible selections save correctly.</x:v>
      </x:c>
      <x:c r="G55" s="12" t="str">
        <x:v>P0</x:v>
      </x:c>
      <x:c r="H55" s="12" t="str">
        <x:v>Admin</x:v>
      </x:c>
      <x:c r="I55" s="12" t="str">
        <x:v>Not Started</x:v>
      </x:c>
      <x:c r="J55" s="16"/>
      <x:c r="K55" s="14" t="str"/>
      <x:c r="L55" s="14" t="str"/>
      <x:c r="M55" s="14" t="str">
        <x:v>N/A</x:v>
      </x:c>
      <x:c r="N55" s="14" t="str"/>
    </x:row>
    <x:row r="56">
      <x:c r="A56" s="12" t="str">
        <x:v>T055</x:v>
      </x:c>
      <x:c r="B56" s="12" t="str">
        <x:v>7. Scheduling &amp; Activation</x:v>
      </x:c>
      <x:c r="C56" s="12" t="str">
        <x:v>Scheduling Assist</x:v>
      </x:c>
      <x:c r="D56" s="14" t="str">
        <x:v>Compare parent and trainer windows</x:v>
      </x:c>
      <x:c r="E56" s="14" t="str">
        <x:v>Select trainer in Scheduling Assist.</x:v>
      </x:c>
      <x:c r="F56" s="14" t="str">
        <x:v>Available/Partial/Unavailable result is accurate.</x:v>
      </x:c>
      <x:c r="G56" s="12" t="str">
        <x:v>P0</x:v>
      </x:c>
      <x:c r="H56" s="12" t="str">
        <x:v>Admin</x:v>
      </x:c>
      <x:c r="I56" s="12" t="str">
        <x:v>Not Started</x:v>
      </x:c>
      <x:c r="J56" s="16"/>
      <x:c r="K56" s="14" t="str"/>
      <x:c r="L56" s="14" t="str"/>
      <x:c r="M56" s="14" t="str">
        <x:v>N/A</x:v>
      </x:c>
      <x:c r="N56" s="14" t="str"/>
    </x:row>
    <x:row r="57">
      <x:c r="A57" s="12" t="str">
        <x:v>T056</x:v>
      </x:c>
      <x:c r="B57" s="12" t="str">
        <x:v>7. Scheduling &amp; Activation</x:v>
      </x:c>
      <x:c r="C57" s="12" t="str">
        <x:v>Scheduling Assist</x:v>
      </x:c>
      <x:c r="D57" s="14" t="str">
        <x:v>Parent timings missing case</x:v>
      </x:c>
      <x:c r="E57" s="14" t="str">
        <x:v>Use a record known to contain DB timing data.</x:v>
      </x:c>
      <x:c r="F57" s="14" t="str">
        <x:v>UI must not show No parent availability if DB data exists.</x:v>
      </x:c>
      <x:c r="G57" s="12" t="str">
        <x:v>P0</x:v>
      </x:c>
      <x:c r="H57" s="12" t="str">
        <x:v>Admin</x:v>
      </x:c>
      <x:c r="I57" s="12" t="str">
        <x:v>Not Started</x:v>
      </x:c>
      <x:c r="J57" s="16"/>
      <x:c r="K57" s="14" t="str"/>
      <x:c r="L57" s="14" t="str"/>
      <x:c r="M57" s="14" t="str">
        <x:v>N/A</x:v>
      </x:c>
      <x:c r="N57" s="14" t="str"/>
    </x:row>
    <x:row r="58">
      <x:c r="A58" s="12" t="str">
        <x:v>T057</x:v>
      </x:c>
      <x:c r="B58" s="12" t="str">
        <x:v>7. Scheduling &amp; Activation</x:v>
      </x:c>
      <x:c r="C58" s="12" t="str">
        <x:v>Schedule</x:v>
      </x:c>
      <x:c r="D58" s="14" t="str">
        <x:v>Final class plan within availability</x:v>
      </x:c>
      <x:c r="E58" s="14" t="str">
        <x:v>Set valid recurring slot within parent + trainer window.</x:v>
      </x:c>
      <x:c r="F58" s="14" t="str">
        <x:v>Schedule is accepted.</x:v>
      </x:c>
      <x:c r="G58" s="12" t="str">
        <x:v>P0</x:v>
      </x:c>
      <x:c r="H58" s="12" t="str">
        <x:v>Admin</x:v>
      </x:c>
      <x:c r="I58" s="12" t="str">
        <x:v>Not Started</x:v>
      </x:c>
      <x:c r="J58" s="16"/>
      <x:c r="K58" s="14" t="str"/>
      <x:c r="L58" s="14" t="str"/>
      <x:c r="M58" s="14" t="str">
        <x:v>N/A</x:v>
      </x:c>
      <x:c r="N58" s="14" t="str"/>
    </x:row>
    <x:row r="59">
      <x:c r="A59" s="12" t="str">
        <x:v>T058</x:v>
      </x:c>
      <x:c r="B59" s="12" t="str">
        <x:v>7. Scheduling &amp; Activation</x:v>
      </x:c>
      <x:c r="C59" s="12" t="str">
        <x:v>Schedule</x:v>
      </x:c>
      <x:c r="D59" s="14" t="str">
        <x:v>Outside preferred window</x:v>
      </x:c>
      <x:c r="E59" s="14" t="str">
        <x:v>Choose slot outside parent preference.</x:v>
      </x:c>
      <x:c r="F59" s="14" t="str">
        <x:v>Requires explicit Admin override; not silently accepted.</x:v>
      </x:c>
      <x:c r="G59" s="12" t="str">
        <x:v>P0</x:v>
      </x:c>
      <x:c r="H59" s="12" t="str">
        <x:v>Admin</x:v>
      </x:c>
      <x:c r="I59" s="12" t="str">
        <x:v>Not Started</x:v>
      </x:c>
      <x:c r="J59" s="16"/>
      <x:c r="K59" s="14" t="str"/>
      <x:c r="L59" s="14" t="str"/>
      <x:c r="M59" s="14" t="str">
        <x:v>N/A</x:v>
      </x:c>
      <x:c r="N59" s="14" t="str"/>
    </x:row>
    <x:row r="60">
      <x:c r="A60" s="12" t="str">
        <x:v>T059</x:v>
      </x:c>
      <x:c r="B60" s="12" t="str">
        <x:v>7. Scheduling &amp; Activation</x:v>
      </x:c>
      <x:c r="C60" s="12" t="str">
        <x:v>Conflict</x:v>
      </x:c>
      <x:c r="D60" s="14" t="str">
        <x:v>Trainer overlap conflict</x:v>
      </x:c>
      <x:c r="E60" s="14" t="str">
        <x:v>Try overlapping class for same trainer.</x:v>
      </x:c>
      <x:c r="F60" s="14" t="str">
        <x:v>Hard block prevents save/activation.</x:v>
      </x:c>
      <x:c r="G60" s="12" t="str">
        <x:v>P0</x:v>
      </x:c>
      <x:c r="H60" s="12" t="str">
        <x:v>Admin</x:v>
      </x:c>
      <x:c r="I60" s="12" t="str">
        <x:v>Not Started</x:v>
      </x:c>
      <x:c r="J60" s="16"/>
      <x:c r="K60" s="14" t="str"/>
      <x:c r="L60" s="14" t="str"/>
      <x:c r="M60" s="14" t="str">
        <x:v>N/A</x:v>
      </x:c>
      <x:c r="N60" s="14" t="str"/>
    </x:row>
    <x:row r="61">
      <x:c r="A61" s="12" t="str">
        <x:v>T060</x:v>
      </x:c>
      <x:c r="B61" s="12" t="str">
        <x:v>7. Scheduling &amp; Activation</x:v>
      </x:c>
      <x:c r="C61" s="12" t="str">
        <x:v>Conflict</x:v>
      </x:c>
      <x:c r="D61" s="14" t="str">
        <x:v>Learner overlap conflict</x:v>
      </x:c>
      <x:c r="E61" s="14" t="str">
        <x:v>Try overlapping class for same learner.</x:v>
      </x:c>
      <x:c r="F61" s="14" t="str">
        <x:v>Hard block prevents save/activation.</x:v>
      </x:c>
      <x:c r="G61" s="12" t="str">
        <x:v>P0</x:v>
      </x:c>
      <x:c r="H61" s="12" t="str">
        <x:v>Admin</x:v>
      </x:c>
      <x:c r="I61" s="12" t="str">
        <x:v>Not Started</x:v>
      </x:c>
      <x:c r="J61" s="16"/>
      <x:c r="K61" s="14" t="str"/>
      <x:c r="L61" s="14" t="str"/>
      <x:c r="M61" s="14" t="str">
        <x:v>N/A</x:v>
      </x:c>
      <x:c r="N61" s="14" t="str"/>
    </x:row>
    <x:row r="62">
      <x:c r="A62" s="12" t="str">
        <x:v>T061</x:v>
      </x:c>
      <x:c r="B62" s="12" t="str">
        <x:v>7. Scheduling &amp; Activation</x:v>
      </x:c>
      <x:c r="C62" s="12" t="str">
        <x:v>Conflict</x:v>
      </x:c>
      <x:c r="D62" s="14" t="str">
        <x:v>Leave override respected</x:v>
      </x:c>
      <x:c r="E62" s="14" t="str">
        <x:v>Schedule during trainer unavailable override.</x:v>
      </x:c>
      <x:c r="F62" s="14" t="str">
        <x:v>Scheduling blocks or clearly requires valid override policy.</x:v>
      </x:c>
      <x:c r="G62" s="12" t="str">
        <x:v>P0</x:v>
      </x:c>
      <x:c r="H62" s="12" t="str">
        <x:v>Admin</x:v>
      </x:c>
      <x:c r="I62" s="12" t="str">
        <x:v>Not Started</x:v>
      </x:c>
      <x:c r="J62" s="16"/>
      <x:c r="K62" s="14" t="str"/>
      <x:c r="L62" s="14" t="str"/>
      <x:c r="M62" s="14" t="str">
        <x:v>N/A</x:v>
      </x:c>
      <x:c r="N62" s="14" t="str"/>
    </x:row>
    <x:row r="63">
      <x:c r="A63" s="12" t="str">
        <x:v>T062</x:v>
      </x:c>
      <x:c r="B63" s="12" t="str">
        <x:v>7. Scheduling &amp; Activation</x:v>
      </x:c>
      <x:c r="C63" s="12" t="str">
        <x:v>Activation</x:v>
      </x:c>
      <x:c r="D63" s="14" t="str">
        <x:v>Activate learner</x:v>
      </x:c>
      <x:c r="E63" s="14" t="str">
        <x:v>Complete checklist and Activate learner.</x:v>
      </x:c>
      <x:c r="F63" s="14" t="str">
        <x:v>Student, enrollment, links and schedule are created once.</x:v>
      </x:c>
      <x:c r="G63" s="12" t="str">
        <x:v>P0</x:v>
      </x:c>
      <x:c r="H63" s="12" t="str">
        <x:v>Admin</x:v>
      </x:c>
      <x:c r="I63" s="12" t="str">
        <x:v>Not Started</x:v>
      </x:c>
      <x:c r="J63" s="16"/>
      <x:c r="K63" s="14" t="str"/>
      <x:c r="L63" s="14" t="str"/>
      <x:c r="M63" s="14" t="str">
        <x:v>N/A</x:v>
      </x:c>
      <x:c r="N63" s="14" t="str"/>
    </x:row>
    <x:row r="64">
      <x:c r="A64" s="12" t="str">
        <x:v>T063</x:v>
      </x:c>
      <x:c r="B64" s="12" t="str">
        <x:v>7. Scheduling &amp; Activation</x:v>
      </x:c>
      <x:c r="C64" s="12" t="str">
        <x:v>Activation</x:v>
      </x:c>
      <x:c r="D64" s="14" t="str">
        <x:v>Activation rollback</x:v>
      </x:c>
      <x:c r="E64" s="14" t="str">
        <x:v>Force/test a safe activation failure scenario if available.</x:v>
      </x:c>
      <x:c r="F64" s="14" t="str">
        <x:v>No orphan student/guardian is left behind.</x:v>
      </x:c>
      <x:c r="G64" s="12" t="str">
        <x:v>P0</x:v>
      </x:c>
      <x:c r="H64" s="12" t="str">
        <x:v>Admin/DB</x:v>
      </x:c>
      <x:c r="I64" s="12" t="str">
        <x:v>Not Started</x:v>
      </x:c>
      <x:c r="J64" s="16"/>
      <x:c r="K64" s="14" t="str"/>
      <x:c r="L64" s="14" t="str"/>
      <x:c r="M64" s="14" t="str">
        <x:v>N/A</x:v>
      </x:c>
      <x:c r="N64" s="14" t="str"/>
    </x:row>
    <x:row r="65">
      <x:c r="A65" s="12" t="str">
        <x:v>T064</x:v>
      </x:c>
      <x:c r="B65" s="12" t="str">
        <x:v>8. Role Views</x:v>
      </x:c>
      <x:c r="C65" s="12" t="str">
        <x:v>Parent</x:v>
      </x:c>
      <x:c r="D65" s="14" t="str">
        <x:v>Parent sees activated learner</x:v>
      </x:c>
      <x:c r="E65" s="14" t="str">
        <x:v>Login as parent after activation.</x:v>
      </x:c>
      <x:c r="F65" s="14" t="str">
        <x:v>Correct learner/course/trainer/schedule appears.</x:v>
      </x:c>
      <x:c r="G65" s="12" t="str">
        <x:v>P0</x:v>
      </x:c>
      <x:c r="H65" s="12" t="str">
        <x:v>Parent</x:v>
      </x:c>
      <x:c r="I65" s="12" t="str">
        <x:v>Not Started</x:v>
      </x:c>
      <x:c r="J65" s="16"/>
      <x:c r="K65" s="14" t="str"/>
      <x:c r="L65" s="14" t="str"/>
      <x:c r="M65" s="14" t="str">
        <x:v>N/A</x:v>
      </x:c>
      <x:c r="N65" s="14" t="str"/>
    </x:row>
    <x:row r="66">
      <x:c r="A66" s="12" t="str">
        <x:v>T065</x:v>
      </x:c>
      <x:c r="B66" s="12" t="str">
        <x:v>8. Role Views</x:v>
      </x:c>
      <x:c r="C66" s="12" t="str">
        <x:v>Parent</x:v>
      </x:c>
      <x:c r="D66" s="14" t="str">
        <x:v>Parent data isolation</x:v>
      </x:c>
      <x:c r="E66" s="14" t="str">
        <x:v>Inspect parent portal.</x:v>
      </x:c>
      <x:c r="F66" s="14" t="str">
        <x:v>No trainer finance, Admin notes or other families are visible.</x:v>
      </x:c>
      <x:c r="G66" s="12" t="str">
        <x:v>P0</x:v>
      </x:c>
      <x:c r="H66" s="12" t="str">
        <x:v>Parent</x:v>
      </x:c>
      <x:c r="I66" s="12" t="str">
        <x:v>Not Started</x:v>
      </x:c>
      <x:c r="J66" s="16"/>
      <x:c r="K66" s="14" t="str"/>
      <x:c r="L66" s="14" t="str"/>
      <x:c r="M66" s="14" t="str">
        <x:v>N/A</x:v>
      </x:c>
      <x:c r="N66" s="14" t="str"/>
    </x:row>
    <x:row r="67">
      <x:c r="A67" s="12" t="str">
        <x:v>T066</x:v>
      </x:c>
      <x:c r="B67" s="12" t="str">
        <x:v>8. Role Views</x:v>
      </x:c>
      <x:c r="C67" s="12" t="str">
        <x:v>Trainer</x:v>
      </x:c>
      <x:c r="D67" s="14" t="str">
        <x:v>Assigned learner visible</x:v>
      </x:c>
      <x:c r="E67" s="14" t="str">
        <x:v>Login as assigned trainer → Learner Progress.</x:v>
      </x:c>
      <x:c r="F67" s="14" t="str">
        <x:v>SANITY student appears with correct course/grade.</x:v>
      </x:c>
      <x:c r="G67" s="12" t="str">
        <x:v>P0</x:v>
      </x:c>
      <x:c r="H67" s="12" t="str">
        <x:v>Trainer</x:v>
      </x:c>
      <x:c r="I67" s="12" t="str">
        <x:v>Not Started</x:v>
      </x:c>
      <x:c r="J67" s="16"/>
      <x:c r="K67" s="14" t="str"/>
      <x:c r="L67" s="14" t="str"/>
      <x:c r="M67" s="14" t="str">
        <x:v>N/A</x:v>
      </x:c>
      <x:c r="N67" s="14" t="str"/>
    </x:row>
    <x:row r="68">
      <x:c r="A68" s="12" t="str">
        <x:v>T067</x:v>
      </x:c>
      <x:c r="B68" s="12" t="str">
        <x:v>8. Role Views</x:v>
      </x:c>
      <x:c r="C68" s="12" t="str">
        <x:v>Trainer</x:v>
      </x:c>
      <x:c r="D68" s="14" t="str">
        <x:v>Approved vs currently teaching courses</x:v>
      </x:c>
      <x:c r="E68" s="14" t="str">
        <x:v>Open My Courses.</x:v>
      </x:c>
      <x:c r="F68" s="14" t="str">
        <x:v>Approved Teaching Areas and Currently Teaching are correctly distinguished.</x:v>
      </x:c>
      <x:c r="G68" s="12" t="str">
        <x:v>P1</x:v>
      </x:c>
      <x:c r="H68" s="12" t="str">
        <x:v>Trainer</x:v>
      </x:c>
      <x:c r="I68" s="12" t="str">
        <x:v>Not Started</x:v>
      </x:c>
      <x:c r="J68" s="16"/>
      <x:c r="K68" s="14" t="str"/>
      <x:c r="L68" s="14" t="str"/>
      <x:c r="M68" s="14" t="str">
        <x:v>N/A</x:v>
      </x:c>
      <x:c r="N68" s="14" t="str"/>
    </x:row>
    <x:row r="69">
      <x:c r="A69" s="12" t="str">
        <x:v>T068</x:v>
      </x:c>
      <x:c r="B69" s="12" t="str">
        <x:v>8. Role Views</x:v>
      </x:c>
      <x:c r="C69" s="12" t="str">
        <x:v>Trainer</x:v>
      </x:c>
      <x:c r="D69" s="14" t="str">
        <x:v>Schedule visibility</x:v>
      </x:c>
      <x:c r="E69" s="14" t="str">
        <x:v>Open My Schedule/My Classes.</x:v>
      </x:c>
      <x:c r="F69" s="14" t="str">
        <x:v>Assigned recurring classes appear correctly.</x:v>
      </x:c>
      <x:c r="G69" s="12" t="str">
        <x:v>P0</x:v>
      </x:c>
      <x:c r="H69" s="12" t="str">
        <x:v>Trainer</x:v>
      </x:c>
      <x:c r="I69" s="12" t="str">
        <x:v>Not Started</x:v>
      </x:c>
      <x:c r="J69" s="16"/>
      <x:c r="K69" s="14" t="str"/>
      <x:c r="L69" s="14" t="str"/>
      <x:c r="M69" s="14" t="str">
        <x:v>N/A</x:v>
      </x:c>
      <x:c r="N69" s="14" t="str"/>
    </x:row>
    <x:row r="70">
      <x:c r="A70" s="12" t="str">
        <x:v>T069</x:v>
      </x:c>
      <x:c r="B70" s="12" t="str">
        <x:v>8. Role Views</x:v>
      </x:c>
      <x:c r="C70" s="12" t="str">
        <x:v>Student</x:v>
      </x:c>
      <x:c r="D70" s="14" t="str">
        <x:v>Student access if enabled</x:v>
      </x:c>
      <x:c r="E70" s="14" t="str">
        <x:v>Login as SANITY student if student login enabled.</x:v>
      </x:c>
      <x:c r="F70" s="14" t="str">
        <x:v>Only own learning data is visible.</x:v>
      </x:c>
      <x:c r="G70" s="12" t="str">
        <x:v>P1</x:v>
      </x:c>
      <x:c r="H70" s="12" t="str">
        <x:v>Student</x:v>
      </x:c>
      <x:c r="I70" s="12" t="str">
        <x:v>Not Started</x:v>
      </x:c>
      <x:c r="J70" s="16"/>
      <x:c r="K70" s="14" t="str"/>
      <x:c r="L70" s="14" t="str"/>
      <x:c r="M70" s="14" t="str">
        <x:v>N/A</x:v>
      </x:c>
      <x:c r="N70" s="14" t="str"/>
    </x:row>
    <x:row r="71">
      <x:c r="A71" s="12" t="str">
        <x:v>T070</x:v>
      </x:c>
      <x:c r="B71" s="12" t="str">
        <x:v>9. Class Delivery</x:v>
      </x:c>
      <x:c r="C71" s="12" t="str">
        <x:v>Classes</x:v>
      </x:c>
      <x:c r="D71" s="14" t="str">
        <x:v>Conduct a scheduled class</x:v>
      </x:c>
      <x:c r="E71" s="14" t="str">
        <x:v>Move one SANITY class to Conducted.</x:v>
      </x:c>
      <x:c r="F71" s="14" t="str">
        <x:v>Class history updates correctly.</x:v>
      </x:c>
      <x:c r="G71" s="12" t="str">
        <x:v>P0</x:v>
      </x:c>
      <x:c r="H71" s="12" t="str">
        <x:v>Trainer/Admin</x:v>
      </x:c>
      <x:c r="I71" s="12" t="str">
        <x:v>Not Started</x:v>
      </x:c>
      <x:c r="J71" s="16"/>
      <x:c r="K71" s="14" t="str"/>
      <x:c r="L71" s="14" t="str"/>
      <x:c r="M71" s="14" t="str">
        <x:v>N/A</x:v>
      </x:c>
      <x:c r="N71" s="14" t="str"/>
    </x:row>
    <x:row r="72">
      <x:c r="A72" s="12" t="str">
        <x:v>T071</x:v>
      </x:c>
      <x:c r="B72" s="12" t="str">
        <x:v>9. Class Delivery</x:v>
      </x:c>
      <x:c r="C72" s="12" t="str">
        <x:v>Attendance</x:v>
      </x:c>
      <x:c r="D72" s="14" t="str">
        <x:v>Record present attendance</x:v>
      </x:c>
      <x:c r="E72" s="14" t="str">
        <x:v>Record attendance and learning observations.</x:v>
      </x:c>
      <x:c r="F72" s="14" t="str">
        <x:v>Attendance/session record saves.</x:v>
      </x:c>
      <x:c r="G72" s="12" t="str">
        <x:v>P0</x:v>
      </x:c>
      <x:c r="H72" s="12" t="str">
        <x:v>Trainer</x:v>
      </x:c>
      <x:c r="I72" s="12" t="str">
        <x:v>Not Started</x:v>
      </x:c>
      <x:c r="J72" s="16"/>
      <x:c r="K72" s="14" t="str"/>
      <x:c r="L72" s="14" t="str"/>
      <x:c r="M72" s="14" t="str">
        <x:v>N/A</x:v>
      </x:c>
      <x:c r="N72" s="14" t="str"/>
    </x:row>
    <x:row r="73">
      <x:c r="A73" s="12" t="str">
        <x:v>T072</x:v>
      </x:c>
      <x:c r="B73" s="12" t="str">
        <x:v>9. Class Delivery</x:v>
      </x:c>
      <x:c r="C73" s="12" t="str">
        <x:v>Progress</x:v>
      </x:c>
      <x:c r="D73" s="14" t="str">
        <x:v>Delivered hours update</x:v>
      </x:c>
      <x:c r="E73" s="14" t="str">
        <x:v>After attended class, inspect enrollment.</x:v>
      </x:c>
      <x:c r="F73" s="14" t="str">
        <x:v>Delivered hours increase by actual duration.</x:v>
      </x:c>
      <x:c r="G73" s="12" t="str">
        <x:v>P0</x:v>
      </x:c>
      <x:c r="H73" s="12" t="str">
        <x:v>Admin/Parent</x:v>
      </x:c>
      <x:c r="I73" s="12" t="str">
        <x:v>Not Started</x:v>
      </x:c>
      <x:c r="J73" s="16"/>
      <x:c r="K73" s="14" t="str"/>
      <x:c r="L73" s="14" t="str"/>
      <x:c r="M73" s="14" t="str">
        <x:v>N/A</x:v>
      </x:c>
      <x:c r="N73" s="14" t="str"/>
    </x:row>
    <x:row r="74">
      <x:c r="A74" s="12" t="str">
        <x:v>T073</x:v>
      </x:c>
      <x:c r="B74" s="12" t="str">
        <x:v>9. Class Delivery</x:v>
      </x:c>
      <x:c r="C74" s="12" t="str">
        <x:v>Progress</x:v>
      </x:c>
      <x:c r="D74" s="14" t="str">
        <x:v>Course progress update</x:v>
      </x:c>
      <x:c r="E74" s="14" t="str">
        <x:v>Inspect course progress after attendance.</x:v>
      </x:c>
      <x:c r="F74" s="14" t="str">
        <x:v>Progress/remaining hours update according to business rules.</x:v>
      </x:c>
      <x:c r="G74" s="12" t="str">
        <x:v>P0</x:v>
      </x:c>
      <x:c r="H74" s="12" t="str">
        <x:v>Admin/Parent</x:v>
      </x:c>
      <x:c r="I74" s="12" t="str">
        <x:v>Not Started</x:v>
      </x:c>
      <x:c r="J74" s="16"/>
      <x:c r="K74" s="14" t="str"/>
      <x:c r="L74" s="14" t="str"/>
      <x:c r="M74" s="14" t="str">
        <x:v>N/A</x:v>
      </x:c>
      <x:c r="N74" s="14" t="str"/>
    </x:row>
    <x:row r="75">
      <x:c r="A75" s="12" t="str">
        <x:v>T074</x:v>
      </x:c>
      <x:c r="B75" s="12" t="str">
        <x:v>10. Payroll</x:v>
      </x:c>
      <x:c r="C75" s="12" t="str">
        <x:v>Payroll</x:v>
      </x:c>
      <x:c r="D75" s="14" t="str">
        <x:v>Completed class pay</x:v>
      </x:c>
      <x:c r="E75" s="14" t="str">
        <x:v>Conduct completed SANITY class.</x:v>
      </x:c>
      <x:c r="F75" s="14" t="str">
        <x:v>Normal pay is generated from active rate card.</x:v>
      </x:c>
      <x:c r="G75" s="12" t="str">
        <x:v>P0</x:v>
      </x:c>
      <x:c r="H75" s="12" t="str">
        <x:v>Admin/Trainer</x:v>
      </x:c>
      <x:c r="I75" s="12" t="str">
        <x:v>Not Started</x:v>
      </x:c>
      <x:c r="J75" s="16"/>
      <x:c r="K75" s="14" t="str"/>
      <x:c r="L75" s="14" t="str"/>
      <x:c r="M75" s="14" t="str">
        <x:v>N/A</x:v>
      </x:c>
      <x:c r="N75" s="14" t="str"/>
    </x:row>
    <x:row r="76">
      <x:c r="A76" s="12" t="str">
        <x:v>T075</x:v>
      </x:c>
      <x:c r="B76" s="12" t="str">
        <x:v>10. Payroll</x:v>
      </x:c>
      <x:c r="C76" s="12" t="str">
        <x:v>Payroll</x:v>
      </x:c>
      <x:c r="D76" s="14" t="str">
        <x:v>Student no-show</x:v>
      </x:c>
      <x:c r="E76" s="14" t="str">
        <x:v>Mark appropriate SANITY class student no-show.</x:v>
      </x:c>
      <x:c r="F76" s="14" t="str">
        <x:v>Trainer class pay = ₹0.</x:v>
      </x:c>
      <x:c r="G76" s="12" t="str">
        <x:v>P0</x:v>
      </x:c>
      <x:c r="H76" s="12" t="str">
        <x:v>Admin/Trainer</x:v>
      </x:c>
      <x:c r="I76" s="12" t="str">
        <x:v>Not Started</x:v>
      </x:c>
      <x:c r="J76" s="16"/>
      <x:c r="K76" s="14" t="str"/>
      <x:c r="L76" s="14" t="str"/>
      <x:c r="M76" s="14" t="str">
        <x:v>N/A</x:v>
      </x:c>
      <x:c r="N76" s="14" t="str"/>
    </x:row>
    <x:row r="77">
      <x:c r="A77" s="12" t="str">
        <x:v>T076</x:v>
      </x:c>
      <x:c r="B77" s="12" t="str">
        <x:v>10. Payroll</x:v>
      </x:c>
      <x:c r="C77" s="12" t="str">
        <x:v>Payroll</x:v>
      </x:c>
      <x:c r="D77" s="14" t="str">
        <x:v>Student cancellation</x:v>
      </x:c>
      <x:c r="E77" s="14" t="str">
        <x:v>Cancel appropriate SANITY class as student cancellation.</x:v>
      </x:c>
      <x:c r="F77" s="14" t="str">
        <x:v>Trainer class pay = ₹0.</x:v>
      </x:c>
      <x:c r="G77" s="12" t="str">
        <x:v>P0</x:v>
      </x:c>
      <x:c r="H77" s="12" t="str">
        <x:v>Admin/Trainer</x:v>
      </x:c>
      <x:c r="I77" s="12" t="str">
        <x:v>Not Started</x:v>
      </x:c>
      <x:c r="J77" s="16"/>
      <x:c r="K77" s="14" t="str"/>
      <x:c r="L77" s="14" t="str"/>
      <x:c r="M77" s="14" t="str">
        <x:v>N/A</x:v>
      </x:c>
      <x:c r="N77" s="14" t="str"/>
    </x:row>
    <x:row r="78">
      <x:c r="A78" s="12" t="str">
        <x:v>T077</x:v>
      </x:c>
      <x:c r="B78" s="12" t="str">
        <x:v>10. Payroll</x:v>
      </x:c>
      <x:c r="C78" s="12" t="str">
        <x:v>Payroll</x:v>
      </x:c>
      <x:c r="D78" s="14" t="str">
        <x:v>Trainer no-show</x:v>
      </x:c>
      <x:c r="E78" s="14" t="str">
        <x:v>Mark trainer no-show on test class.</x:v>
      </x:c>
      <x:c r="F78" s="14" t="str">
        <x:v>Class pay ₹0 and configured trainer penalty is applied/recorded.</x:v>
      </x:c>
      <x:c r="G78" s="12" t="str">
        <x:v>P0</x:v>
      </x:c>
      <x:c r="H78" s="12" t="str">
        <x:v>Admin/Trainer</x:v>
      </x:c>
      <x:c r="I78" s="12" t="str">
        <x:v>Not Started</x:v>
      </x:c>
      <x:c r="J78" s="16"/>
      <x:c r="K78" s="14" t="str"/>
      <x:c r="L78" s="14" t="str"/>
      <x:c r="M78" s="14" t="str">
        <x:v>N/A</x:v>
      </x:c>
      <x:c r="N78" s="14" t="str"/>
    </x:row>
    <x:row r="79">
      <x:c r="A79" s="12" t="str">
        <x:v>T078</x:v>
      </x:c>
      <x:c r="B79" s="12" t="str">
        <x:v>10. Payroll</x:v>
      </x:c>
      <x:c r="C79" s="12" t="str">
        <x:v>Payroll</x:v>
      </x:c>
      <x:c r="D79" s="14" t="str">
        <x:v>Late grace / late penalty</x:v>
      </x:c>
      <x:c r="E79" s="14" t="str">
        <x:v>Test late status if supported.</x:v>
      </x:c>
      <x:c r="F79" s="14" t="str">
        <x:v>Grace and penalty follow current rate card.</x:v>
      </x:c>
      <x:c r="G79" s="12" t="str">
        <x:v>P1</x:v>
      </x:c>
      <x:c r="H79" s="12" t="str">
        <x:v>Admin/Trainer</x:v>
      </x:c>
      <x:c r="I79" s="12" t="str">
        <x:v>Not Started</x:v>
      </x:c>
      <x:c r="J79" s="16"/>
      <x:c r="K79" s="14" t="str"/>
      <x:c r="L79" s="14" t="str"/>
      <x:c r="M79" s="14" t="str">
        <x:v>N/A</x:v>
      </x:c>
      <x:c r="N79" s="14" t="str"/>
    </x:row>
    <x:row r="80">
      <x:c r="A80" s="12" t="str">
        <x:v>T079</x:v>
      </x:c>
      <x:c r="B80" s="12" t="str">
        <x:v>10. Payroll</x:v>
      </x:c>
      <x:c r="C80" s="12" t="str">
        <x:v>Payroll</x:v>
      </x:c>
      <x:c r="D80" s="14" t="str">
        <x:v>Payout visibility</x:v>
      </x:c>
      <x:c r="E80" s="14" t="str">
        <x:v>Compare Admin payroll and Trainer earnings.</x:v>
      </x:c>
      <x:c r="F80" s="14" t="str">
        <x:v>Trainer sees own earnings only; Admin sees management controls.</x:v>
      </x:c>
      <x:c r="G80" s="12" t="str">
        <x:v>P0</x:v>
      </x:c>
      <x:c r="H80" s="12" t="str">
        <x:v>Admin/Trainer</x:v>
      </x:c>
      <x:c r="I80" s="12" t="str">
        <x:v>Not Started</x:v>
      </x:c>
      <x:c r="J80" s="16"/>
      <x:c r="K80" s="14" t="str"/>
      <x:c r="L80" s="14" t="str"/>
      <x:c r="M80" s="14" t="str">
        <x:v>N/A</x:v>
      </x:c>
      <x:c r="N80" s="14" t="str"/>
    </x:row>
    <x:row r="81">
      <x:c r="A81" s="12" t="str">
        <x:v>T080</x:v>
      </x:c>
      <x:c r="B81" s="12" t="str">
        <x:v>11. Enrollment UI</x:v>
      </x:c>
      <x:c r="C81" s="12" t="str">
        <x:v>Enrollment</x:v>
      </x:c>
      <x:c r="D81" s="14" t="str">
        <x:v>Status display label</x:v>
      </x:c>
      <x:c r="E81" s="14" t="str">
        <x:v>Open active enrollment detail.</x:v>
      </x:c>
      <x:c r="F81" s="14" t="str">
        <x:v>Shows Active, not raw active.</x:v>
      </x:c>
      <x:c r="G81" s="12" t="str">
        <x:v>P2</x:v>
      </x:c>
      <x:c r="H81" s="12" t="str">
        <x:v>Admin</x:v>
      </x:c>
      <x:c r="I81" s="12" t="str">
        <x:v>Not Started</x:v>
      </x:c>
      <x:c r="J81" s="16"/>
      <x:c r="K81" s="14" t="str"/>
      <x:c r="L81" s="14" t="str"/>
      <x:c r="M81" s="14" t="str">
        <x:v>N/A</x:v>
      </x:c>
      <x:c r="N81" s="14" t="str"/>
    </x:row>
    <x:row r="82">
      <x:c r="A82" s="12" t="str">
        <x:v>T081</x:v>
      </x:c>
      <x:c r="B82" s="12" t="str">
        <x:v>11. Enrollment UI</x:v>
      </x:c>
      <x:c r="C82" s="12" t="str">
        <x:v>Enrollment</x:v>
      </x:c>
      <x:c r="D82" s="14" t="str">
        <x:v>Program model display label</x:v>
      </x:c>
      <x:c r="E82" s="14" t="str">
        <x:v>Inspect Program Model.</x:v>
      </x:c>
      <x:c r="F82" s="14" t="str">
        <x:v>Shows Fixed Program, not raw fixed program.</x:v>
      </x:c>
      <x:c r="G82" s="12" t="str">
        <x:v>P2</x:v>
      </x:c>
      <x:c r="H82" s="12" t="str">
        <x:v>Admin</x:v>
      </x:c>
      <x:c r="I82" s="12" t="str">
        <x:v>Not Started</x:v>
      </x:c>
      <x:c r="J82" s="16"/>
      <x:c r="K82" s="14" t="str"/>
      <x:c r="L82" s="14" t="str"/>
      <x:c r="M82" s="14" t="str">
        <x:v>N/A</x:v>
      </x:c>
      <x:c r="N82" s="14" t="str"/>
    </x:row>
    <x:row r="83">
      <x:c r="A83" s="12" t="str">
        <x:v>T082</x:v>
      </x:c>
      <x:c r="B83" s="12" t="str">
        <x:v>11. Enrollment UI</x:v>
      </x:c>
      <x:c r="C83" s="12" t="str">
        <x:v>Enrollment</x:v>
      </x:c>
      <x:c r="D83" s="14" t="str">
        <x:v>Weekly schedule formatting</x:v>
      </x:c>
      <x:c r="E83" s="14" t="str">
        <x:v>Inspect Enrollment History schedule.</x:v>
      </x:c>
      <x:c r="F83" s="14" t="str">
        <x:v>Each day/time appears on its own readable row; timezone shown once.</x:v>
      </x:c>
      <x:c r="G83" s="12" t="str">
        <x:v>P2</x:v>
      </x:c>
      <x:c r="H83" s="12" t="str">
        <x:v>Admin</x:v>
      </x:c>
      <x:c r="I83" s="12" t="str">
        <x:v>Not Started</x:v>
      </x:c>
      <x:c r="J83" s="16"/>
      <x:c r="K83" s="14" t="str"/>
      <x:c r="L83" s="14" t="str"/>
      <x:c r="M83" s="14" t="str">
        <x:v>N/A</x:v>
      </x:c>
      <x:c r="N83" s="14" t="str"/>
    </x:row>
    <x:row r="84">
      <x:c r="A84" s="12" t="str">
        <x:v>T083</x:v>
      </x:c>
      <x:c r="B84" s="12" t="str">
        <x:v>12. Communications</x:v>
      </x:c>
      <x:c r="C84" s="12" t="str">
        <x:v>Messages</x:v>
      </x:c>
      <x:c r="D84" s="14" t="str">
        <x:v>Parent to Admin message</x:v>
      </x:c>
      <x:c r="E84" s="14" t="str">
        <x:v>Send SANITY message from parent and reply as Admin.</x:v>
      </x:c>
      <x:c r="F84" s="14" t="str">
        <x:v>Thread/unread state works both ways.</x:v>
      </x:c>
      <x:c r="G84" s="12" t="str">
        <x:v>P1</x:v>
      </x:c>
      <x:c r="H84" s="12" t="str">
        <x:v>Parent/Admin</x:v>
      </x:c>
      <x:c r="I84" s="12" t="str">
        <x:v>Not Started</x:v>
      </x:c>
      <x:c r="J84" s="16"/>
      <x:c r="K84" s="14" t="str"/>
      <x:c r="L84" s="14" t="str"/>
      <x:c r="M84" s="14" t="str">
        <x:v>N/A</x:v>
      </x:c>
      <x:c r="N84" s="14" t="str"/>
    </x:row>
    <x:row r="85">
      <x:c r="A85" s="12" t="str">
        <x:v>T084</x:v>
      </x:c>
      <x:c r="B85" s="12" t="str">
        <x:v>12. Communications</x:v>
      </x:c>
      <x:c r="C85" s="12" t="str">
        <x:v>Security</x:v>
      </x:c>
      <x:c r="D85" s="14" t="str">
        <x:v>Message isolation</x:v>
      </x:c>
      <x:c r="E85" s="14" t="str">
        <x:v>Try to access another family's conversation indirectly.</x:v>
      </x:c>
      <x:c r="F85" s="14" t="str">
        <x:v>Access is denied/not exposed.</x:v>
      </x:c>
      <x:c r="G85" s="12" t="str">
        <x:v>P0</x:v>
      </x:c>
      <x:c r="H85" s="12" t="str">
        <x:v>Parent</x:v>
      </x:c>
      <x:c r="I85" s="12" t="str">
        <x:v>Not Started</x:v>
      </x:c>
      <x:c r="J85" s="16"/>
      <x:c r="K85" s="14" t="str"/>
      <x:c r="L85" s="14" t="str"/>
      <x:c r="M85" s="14" t="str">
        <x:v>N/A</x:v>
      </x:c>
      <x:c r="N85" s="14" t="str"/>
    </x:row>
    <x:row r="86">
      <x:c r="A86" s="12" t="str">
        <x:v>T085</x:v>
      </x:c>
      <x:c r="B86" s="12" t="str">
        <x:v>12. Communications</x:v>
      </x:c>
      <x:c r="C86" s="12" t="str">
        <x:v>Notifications</x:v>
      </x:c>
      <x:c r="D86" s="14" t="str">
        <x:v>Role-isolated notifications</x:v>
      </x:c>
      <x:c r="E86" s="14" t="str">
        <x:v>Generate notification events for different roles.</x:v>
      </x:c>
      <x:c r="F86" s="14" t="str">
        <x:v>Parent/Trainer/Admin only see intended notifications.</x:v>
      </x:c>
      <x:c r="G86" s="12" t="str">
        <x:v>P0</x:v>
      </x:c>
      <x:c r="H86" s="12" t="str">
        <x:v>All</x:v>
      </x:c>
      <x:c r="I86" s="12" t="str">
        <x:v>Not Started</x:v>
      </x:c>
      <x:c r="J86" s="16"/>
      <x:c r="K86" s="14" t="str"/>
      <x:c r="L86" s="14" t="str"/>
      <x:c r="M86" s="14" t="str">
        <x:v>N/A</x:v>
      </x:c>
      <x:c r="N86" s="14" t="str"/>
    </x:row>
    <x:row r="87">
      <x:c r="A87" s="12" t="str">
        <x:v>T086</x:v>
      </x:c>
      <x:c r="B87" s="12" t="str">
        <x:v>13. Billing &amp; Invoice</x:v>
      </x:c>
      <x:c r="C87" s="12" t="str">
        <x:v>Billing</x:v>
      </x:c>
      <x:c r="D87" s="14" t="str">
        <x:v>Admin billing component auth</x:v>
      </x:c>
      <x:c r="E87" s="14" t="str">
        <x:v>Open Billing &amp; Invoice while already logged in as Admin.</x:v>
      </x:c>
      <x:c r="F87" s="14" t="str">
        <x:v>No false Sign in as an administrator message.</x:v>
      </x:c>
      <x:c r="G87" s="12" t="str">
        <x:v>P0</x:v>
      </x:c>
      <x:c r="H87" s="12" t="str">
        <x:v>Admin</x:v>
      </x:c>
      <x:c r="I87" s="12" t="str">
        <x:v>Not Started</x:v>
      </x:c>
      <x:c r="J87" s="16"/>
      <x:c r="K87" s="14" t="str"/>
      <x:c r="L87" s="14" t="str"/>
      <x:c r="M87" s="14" t="str">
        <x:v>N/A</x:v>
      </x:c>
      <x:c r="N87" s="14" t="str"/>
    </x:row>
    <x:row r="88">
      <x:c r="A88" s="12" t="str">
        <x:v>T087</x:v>
      </x:c>
      <x:c r="B88" s="12" t="str">
        <x:v>13. Billing &amp; Invoice</x:v>
      </x:c>
      <x:c r="C88" s="12" t="str">
        <x:v>Billing</x:v>
      </x:c>
      <x:c r="D88" s="14" t="str">
        <x:v>Fee package creation</x:v>
      </x:c>
      <x:c r="E88" s="14" t="str">
        <x:v>Create SANITY fee package.</x:v>
      </x:c>
      <x:c r="F88" s="14" t="str">
        <x:v>Package saves with correct amount/hours/sessions/currency.</x:v>
      </x:c>
      <x:c r="G88" s="12" t="str">
        <x:v>P0</x:v>
      </x:c>
      <x:c r="H88" s="12" t="str">
        <x:v>Admin</x:v>
      </x:c>
      <x:c r="I88" s="12" t="str">
        <x:v>Not Started</x:v>
      </x:c>
      <x:c r="J88" s="16"/>
      <x:c r="K88" s="14" t="str"/>
      <x:c r="L88" s="14" t="str"/>
      <x:c r="M88" s="14" t="str">
        <x:v>N/A</x:v>
      </x:c>
      <x:c r="N88" s="14" t="str"/>
    </x:row>
    <x:row r="89">
      <x:c r="A89" s="12" t="str">
        <x:v>T088</x:v>
      </x:c>
      <x:c r="B89" s="12" t="str">
        <x:v>13. Billing &amp; Invoice</x:v>
      </x:c>
      <x:c r="C89" s="12" t="str">
        <x:v>Billing</x:v>
      </x:c>
      <x:c r="D89" s="14" t="str">
        <x:v>Indian billing path</x:v>
      </x:c>
      <x:c r="E89" s="14" t="str">
        <x:v>Test Indian family flow.</x:v>
      </x:c>
      <x:c r="F89" s="14" t="str">
        <x:v>International Razorpay invoice is not forced incorrectly.</x:v>
      </x:c>
      <x:c r="G89" s="12" t="str">
        <x:v>P1</x:v>
      </x:c>
      <x:c r="H89" s="12" t="str">
        <x:v>Admin</x:v>
      </x:c>
      <x:c r="I89" s="12" t="str">
        <x:v>Not Started</x:v>
      </x:c>
      <x:c r="J89" s="16"/>
      <x:c r="K89" s="14" t="str"/>
      <x:c r="L89" s="14" t="str"/>
      <x:c r="M89" s="14" t="str">
        <x:v>N/A</x:v>
      </x:c>
      <x:c r="N89" s="14" t="str"/>
    </x:row>
    <x:row r="90">
      <x:c r="A90" s="12" t="str">
        <x:v>T089</x:v>
      </x:c>
      <x:c r="B90" s="12" t="str">
        <x:v>13. Billing &amp; Invoice</x:v>
      </x:c>
      <x:c r="C90" s="12" t="str">
        <x:v>Razorpay</x:v>
      </x:c>
      <x:c r="D90" s="14" t="str">
        <x:v>International invoice draft</x:v>
      </x:c>
      <x:c r="E90" s="14" t="str">
        <x:v>Create SANITY international invoice in test mode.</x:v>
      </x:c>
      <x:c r="F90" s="14" t="str">
        <x:v>Address, currency, FX, SAC/LUT/IGST/purpose code/due date are correct.</x:v>
      </x:c>
      <x:c r="G90" s="12" t="str">
        <x:v>P0</x:v>
      </x:c>
      <x:c r="H90" s="12" t="str">
        <x:v>Admin</x:v>
      </x:c>
      <x:c r="I90" s="12" t="str">
        <x:v>Not Started</x:v>
      </x:c>
      <x:c r="J90" s="16"/>
      <x:c r="K90" s="14" t="str"/>
      <x:c r="L90" s="14" t="str"/>
      <x:c r="M90" s="14" t="str">
        <x:v>N/A</x:v>
      </x:c>
      <x:c r="N90" s="14" t="str"/>
    </x:row>
    <x:row r="91">
      <x:c r="A91" s="12" t="str">
        <x:v>T090</x:v>
      </x:c>
      <x:c r="B91" s="12" t="str">
        <x:v>14. Security</x:v>
      </x:c>
      <x:c r="C91" s="12" t="str">
        <x:v>RLS</x:v>
      </x:c>
      <x:c r="D91" s="14" t="str">
        <x:v>Trainer blocked from Admin URLs</x:v>
      </x:c>
      <x:c r="E91" s="14" t="str">
        <x:v>As Trainer browse /admin and finance URLs.</x:v>
      </x:c>
      <x:c r="F91" s="14" t="str">
        <x:v>Denied/redirected.</x:v>
      </x:c>
      <x:c r="G91" s="12" t="str">
        <x:v>P0</x:v>
      </x:c>
      <x:c r="H91" s="12" t="str">
        <x:v>Trainer</x:v>
      </x:c>
      <x:c r="I91" s="12" t="str">
        <x:v>Not Started</x:v>
      </x:c>
      <x:c r="J91" s="16"/>
      <x:c r="K91" s="14" t="str"/>
      <x:c r="L91" s="14" t="str"/>
      <x:c r="M91" s="14" t="str">
        <x:v>N/A</x:v>
      </x:c>
      <x:c r="N91" s="14" t="str"/>
    </x:row>
    <x:row r="92">
      <x:c r="A92" s="12" t="str">
        <x:v>T091</x:v>
      </x:c>
      <x:c r="B92" s="12" t="str">
        <x:v>14. Security</x:v>
      </x:c>
      <x:c r="C92" s="12" t="str">
        <x:v>RLS</x:v>
      </x:c>
      <x:c r="D92" s="14" t="str">
        <x:v>Parent blocked from Admin/Trainer URLs</x:v>
      </x:c>
      <x:c r="E92" s="14" t="str">
        <x:v>As Parent try restricted URLs.</x:v>
      </x:c>
      <x:c r="F92" s="14" t="str">
        <x:v>Denied/redirected.</x:v>
      </x:c>
      <x:c r="G92" s="12" t="str">
        <x:v>P0</x:v>
      </x:c>
      <x:c r="H92" s="12" t="str">
        <x:v>Parent</x:v>
      </x:c>
      <x:c r="I92" s="12" t="str">
        <x:v>Not Started</x:v>
      </x:c>
      <x:c r="J92" s="16"/>
      <x:c r="K92" s="14" t="str"/>
      <x:c r="L92" s="14" t="str"/>
      <x:c r="M92" s="14" t="str">
        <x:v>N/A</x:v>
      </x:c>
      <x:c r="N92" s="14" t="str"/>
    </x:row>
    <x:row r="93">
      <x:c r="A93" s="12" t="str">
        <x:v>T092</x:v>
      </x:c>
      <x:c r="B93" s="12" t="str">
        <x:v>14. Security</x:v>
      </x:c>
      <x:c r="C93" s="12" t="str">
        <x:v>RLS</x:v>
      </x:c>
      <x:c r="D93" s="14" t="str">
        <x:v>Student blocked from other roles</x:v>
      </x:c>
      <x:c r="E93" s="14" t="str">
        <x:v>As Student try Parent/Trainer/Admin URLs.</x:v>
      </x:c>
      <x:c r="F93" s="14" t="str">
        <x:v>Denied/redirected.</x:v>
      </x:c>
      <x:c r="G93" s="12" t="str">
        <x:v>P0</x:v>
      </x:c>
      <x:c r="H93" s="12" t="str">
        <x:v>Student</x:v>
      </x:c>
      <x:c r="I93" s="12" t="str">
        <x:v>Not Started</x:v>
      </x:c>
      <x:c r="J93" s="16"/>
      <x:c r="K93" s="14" t="str"/>
      <x:c r="L93" s="14" t="str"/>
      <x:c r="M93" s="14" t="str">
        <x:v>N/A</x:v>
      </x:c>
      <x:c r="N93" s="14" t="str"/>
    </x:row>
    <x:row r="94">
      <x:c r="A94" s="12" t="str">
        <x:v>T093</x:v>
      </x:c>
      <x:c r="B94" s="12" t="str">
        <x:v>14. Security</x:v>
      </x:c>
      <x:c r="C94" s="12" t="str">
        <x:v>Access</x:v>
      </x:c>
      <x:c r="D94" s="14" t="str">
        <x:v>Disabled user</x:v>
      </x:c>
      <x:c r="E94" s="14" t="str">
        <x:v>Disable a test profile and sign in.</x:v>
      </x:c>
      <x:c r="F94" s="14" t="str">
        <x:v>Explicit Access disabled behavior; no portal data.</x:v>
      </x:c>
      <x:c r="G94" s="12" t="str">
        <x:v>P0</x:v>
      </x:c>
      <x:c r="H94" s="12" t="str">
        <x:v>All</x:v>
      </x:c>
      <x:c r="I94" s="12" t="str">
        <x:v>Not Started</x:v>
      </x:c>
      <x:c r="J94" s="16"/>
      <x:c r="K94" s="14" t="str"/>
      <x:c r="L94" s="14" t="str"/>
      <x:c r="M94" s="14" t="str">
        <x:v>N/A</x:v>
      </x:c>
      <x:c r="N94" s="14" t="str"/>
    </x:row>
    <x:row r="95">
      <x:c r="A95" s="12" t="str">
        <x:v>T094</x:v>
      </x:c>
      <x:c r="B95" s="12" t="str">
        <x:v>15. Session &amp; Resilience</x:v>
      </x:c>
      <x:c r="C95" s="12" t="str">
        <x:v>Session</x:v>
      </x:c>
      <x:c r="D95" s="14" t="str">
        <x:v>Sign-out clears access</x:v>
      </x:c>
      <x:c r="E95" s="14" t="str">
        <x:v>Sign out from each role and revisit protected URL.</x:v>
      </x:c>
      <x:c r="F95" s="14" t="str">
        <x:v>Protected data no longer loads.</x:v>
      </x:c>
      <x:c r="G95" s="12" t="str">
        <x:v>P0</x:v>
      </x:c>
      <x:c r="H95" s="12" t="str">
        <x:v>All</x:v>
      </x:c>
      <x:c r="I95" s="12" t="str">
        <x:v>Not Started</x:v>
      </x:c>
      <x:c r="J95" s="16"/>
      <x:c r="K95" s="14" t="str"/>
      <x:c r="L95" s="14" t="str"/>
      <x:c r="M95" s="14" t="str">
        <x:v>N/A</x:v>
      </x:c>
      <x:c r="N95" s="14" t="str"/>
    </x:row>
    <x:row r="96">
      <x:c r="A96" s="12" t="str">
        <x:v>T095</x:v>
      </x:c>
      <x:c r="B96" s="12" t="str">
        <x:v>15. Session &amp; Resilience</x:v>
      </x:c>
      <x:c r="C96" s="12" t="str">
        <x:v>Session</x:v>
      </x:c>
      <x:c r="D96" s="14" t="str">
        <x:v>Role switch cache safety</x:v>
      </x:c>
      <x:c r="E96" s="14" t="str">
        <x:v>Sign out Admin, then login Trainer/Parent.</x:v>
      </x:c>
      <x:c r="F96" s="14" t="str">
        <x:v>No previous-role data flashes or remains cached.</x:v>
      </x:c>
      <x:c r="G96" s="12" t="str">
        <x:v>P0</x:v>
      </x:c>
      <x:c r="H96" s="12" t="str">
        <x:v>All</x:v>
      </x:c>
      <x:c r="I96" s="12" t="str">
        <x:v>Not Started</x:v>
      </x:c>
      <x:c r="J96" s="16"/>
      <x:c r="K96" s="14" t="str"/>
      <x:c r="L96" s="14" t="str"/>
      <x:c r="M96" s="14" t="str">
        <x:v>N/A</x:v>
      </x:c>
      <x:c r="N96" s="14" t="str"/>
    </x:row>
    <x:row r="97">
      <x:c r="A97" s="12" t="str">
        <x:v>T096</x:v>
      </x:c>
      <x:c r="B97" s="12" t="str">
        <x:v>15. Session &amp; Resilience</x:v>
      </x:c>
      <x:c r="C97" s="12" t="str">
        <x:v>Refresh</x:v>
      </x:c>
      <x:c r="D97" s="14" t="str">
        <x:v>Page refresh resilience</x:v>
      </x:c>
      <x:c r="E97" s="14" t="str">
        <x:v>Refresh onboarding detail, trainer profile, schedule, enrollment, parent learner view.</x:v>
      </x:c>
      <x:c r="F97" s="14" t="str">
        <x:v>Page reloads with persisted data and no broken state.</x:v>
      </x:c>
      <x:c r="G97" s="12" t="str">
        <x:v>P1</x:v>
      </x:c>
      <x:c r="H97" s="12" t="str">
        <x:v>All</x:v>
      </x:c>
      <x:c r="I97" s="12" t="str">
        <x:v>Not Started</x:v>
      </x:c>
      <x:c r="J97" s="16"/>
      <x:c r="K97" s="14" t="str"/>
      <x:c r="L97" s="14" t="str"/>
      <x:c r="M97" s="14" t="str">
        <x:v>N/A</x:v>
      </x:c>
      <x:c r="N97" s="14" t="str"/>
    </x:row>
    <x:row r="98">
      <x:c r="A98" s="12" t="str">
        <x:v>T097</x:v>
      </x:c>
      <x:c r="B98" s="12" t="str">
        <x:v>15. Session &amp; Resilience</x:v>
      </x:c>
      <x:c r="C98" s="12" t="str">
        <x:v>Responsive</x:v>
      </x:c>
      <x:c r="D98" s="14" t="str">
        <x:v>Core responsive layouts</x:v>
      </x:c>
      <x:c r="E98" s="14" t="str">
        <x:v>Check homepage, login, onboarding, parent portal at narrow width.</x:v>
      </x:c>
      <x:c r="F98" s="14" t="str">
        <x:v>Usable layout; no blocked controls.</x:v>
      </x:c>
      <x:c r="G98" s="12" t="str">
        <x:v>P2</x:v>
      </x:c>
      <x:c r="H98" s="12" t="str">
        <x:v>Public/Parent</x:v>
      </x:c>
      <x:c r="I98" s="12" t="str">
        <x:v>Not Started</x:v>
      </x:c>
      <x:c r="J98" s="16"/>
      <x:c r="K98" s="14" t="str"/>
      <x:c r="L98" s="14" t="str"/>
      <x:c r="M98" s="14" t="str">
        <x:v>N/A</x:v>
      </x:c>
      <x:c r="N98" s="14" t="str"/>
    </x:row>
    <x:row r="99">
      <x:c r="A99" s="12" t="str">
        <x:v>T098</x:v>
      </x:c>
      <x:c r="B99" s="12" t="str">
        <x:v>16. Final QA</x:v>
      </x:c>
      <x:c r="C99" s="12" t="str">
        <x:v>Automation</x:v>
      </x:c>
      <x:c r="D99" s="14" t="str">
        <x:v>Auth QA</x:v>
      </x:c>
      <x:c r="E99" s="14" t="str">
        <x:v>Run npm run qa:auth-check if available.</x:v>
      </x:c>
      <x:c r="F99" s="14" t="str">
        <x:v>All auth checks pass.</x:v>
      </x:c>
      <x:c r="G99" s="12" t="str">
        <x:v>P0</x:v>
      </x:c>
      <x:c r="H99" s="12" t="str">
        <x:v>Admin/Dev</x:v>
      </x:c>
      <x:c r="I99" s="12" t="str">
        <x:v>Not Started</x:v>
      </x:c>
      <x:c r="J99" s="16"/>
      <x:c r="K99" s="14" t="str"/>
      <x:c r="L99" s="14" t="str"/>
      <x:c r="M99" s="14" t="str">
        <x:v>N/A</x:v>
      </x:c>
      <x:c r="N99" s="14" t="str"/>
    </x:row>
    <x:row r="100">
      <x:c r="A100" s="12" t="str">
        <x:v>T099</x:v>
      </x:c>
      <x:c r="B100" s="12" t="str">
        <x:v>16. Final QA</x:v>
      </x:c>
      <x:c r="C100" s="12" t="str">
        <x:v>Automation</x:v>
      </x:c>
      <x:c r="D100" s="14" t="str">
        <x:v>Role QA</x:v>
      </x:c>
      <x:c r="E100" s="14" t="str">
        <x:v>Run npm run qa:roles if available.</x:v>
      </x:c>
      <x:c r="F100" s="14" t="str">
        <x:v>All role tests pass.</x:v>
      </x:c>
      <x:c r="G100" s="12" t="str">
        <x:v>P0</x:v>
      </x:c>
      <x:c r="H100" s="12" t="str">
        <x:v>Admin/Dev</x:v>
      </x:c>
      <x:c r="I100" s="12" t="str">
        <x:v>Not Started</x:v>
      </x:c>
      <x:c r="J100" s="16"/>
      <x:c r="K100" s="14" t="str"/>
      <x:c r="L100" s="14" t="str"/>
      <x:c r="M100" s="14" t="str">
        <x:v>N/A</x:v>
      </x:c>
      <x:c r="N100" s="14" t="str"/>
    </x:row>
    <x:row r="101">
      <x:c r="A101" s="12" t="str">
        <x:v>T100</x:v>
      </x:c>
      <x:c r="B101" s="12" t="str">
        <x:v>16. Final QA</x:v>
      </x:c>
      <x:c r="C101" s="12" t="str">
        <x:v>Automation</x:v>
      </x:c>
      <x:c r="D101" s="14" t="str">
        <x:v>Workflow QA</x:v>
      </x:c>
      <x:c r="E101" s="14" t="str">
        <x:v>Run npm run qa:workflow if available.</x:v>
      </x:c>
      <x:c r="F101" s="14" t="str">
        <x:v>All workflow tests pass or failures are understood/fixed.</x:v>
      </x:c>
      <x:c r="G101" s="12" t="str">
        <x:v>P0</x:v>
      </x:c>
      <x:c r="H101" s="12" t="str">
        <x:v>Admin/Dev</x:v>
      </x:c>
      <x:c r="I101" s="12" t="str">
        <x:v>Not Started</x:v>
      </x:c>
      <x:c r="J101" s="16"/>
      <x:c r="K101" s="14" t="str"/>
      <x:c r="L101" s="14" t="str"/>
      <x:c r="M101" s="14" t="str">
        <x:v>N/A</x:v>
      </x:c>
      <x:c r="N101" s="14" t="str"/>
    </x:row>
    <x:row r="102">
      <x:c r="A102" s="12" t="str">
        <x:v>T101</x:v>
      </x:c>
      <x:c r="B102" s="12" t="str">
        <x:v>16. Final QA</x:v>
      </x:c>
      <x:c r="C102" s="12" t="str">
        <x:v>Cleanup</x:v>
      </x:c>
      <x:c r="D102" s="14" t="str">
        <x:v>SANITY cleanup</x:v>
      </x:c>
      <x:c r="E102" s="14" t="str">
        <x:v>Run/perform approved SANITY cleanup.</x:v>
      </x:c>
      <x:c r="F102" s="14" t="str">
        <x:v>Only SANITY operational/auth data removed; master/admin preserved.</x:v>
      </x:c>
      <x:c r="G102" s="12" t="str">
        <x:v>P0</x:v>
      </x:c>
      <x:c r="H102" s="12" t="str">
        <x:v>Admin/DB</x:v>
      </x:c>
      <x:c r="I102" s="12" t="str">
        <x:v>Not Started</x:v>
      </x:c>
      <x:c r="J102" s="16"/>
      <x:c r="K102" s="14" t="str"/>
      <x:c r="L102" s="14" t="str"/>
      <x:c r="M102" s="14" t="str">
        <x:v>N/A</x:v>
      </x:c>
      <x:c r="N102" s="14" t="str"/>
    </x:row>
    <x:row r="103">
      <x:c r="A103" s="12" t="str">
        <x:v>T102</x:v>
      </x:c>
      <x:c r="B103" s="12" t="str">
        <x:v>17. Production Smoke</x:v>
      </x:c>
      <x:c r="C103" s="12" t="str">
        <x:v>Deploy</x:v>
      </x:c>
      <x:c r="D103" s="14" t="str">
        <x:v>Deploy exact tested code</x:v>
      </x:c>
      <x:c r="E103" s="14" t="str">
        <x:v>Deploy tested commit/build to Production.</x:v>
      </x:c>
      <x:c r="F103" s="14" t="str">
        <x:v>Production runs same code that passed Development.</x:v>
      </x:c>
      <x:c r="G103" s="12" t="str">
        <x:v>P0</x:v>
      </x:c>
      <x:c r="H103" s="12" t="str">
        <x:v>Admin/Dev</x:v>
      </x:c>
      <x:c r="I103" s="12" t="str">
        <x:v>Not Started</x:v>
      </x:c>
      <x:c r="J103" s="16"/>
      <x:c r="K103" s="14" t="str"/>
      <x:c r="L103" s="14" t="str"/>
      <x:c r="M103" s="14" t="str">
        <x:v>N/A</x:v>
      </x:c>
      <x:c r="N103" s="14" t="str"/>
    </x:row>
    <x:row r="104">
      <x:c r="A104" s="12" t="str">
        <x:v>T103</x:v>
      </x:c>
      <x:c r="B104" s="12" t="str">
        <x:v>17. Production Smoke</x:v>
      </x:c>
      <x:c r="C104" s="12" t="str">
        <x:v>Config</x:v>
      </x:c>
      <x:c r="D104" s="14" t="str">
        <x:v>Production environment config</x:v>
      </x:c>
      <x:c r="E104" s="14" t="str">
        <x:v>Check Netlify env, Production Supabase, domain, callbacks, SMTP.</x:v>
      </x:c>
      <x:c r="F104" s="14" t="str">
        <x:v>All production values correct; no Dev DB used.</x:v>
      </x:c>
      <x:c r="G104" s="12" t="str">
        <x:v>P0</x:v>
      </x:c>
      <x:c r="H104" s="12" t="str">
        <x:v>Admin/Dev</x:v>
      </x:c>
      <x:c r="I104" s="12" t="str">
        <x:v>Not Started</x:v>
      </x:c>
      <x:c r="J104" s="16"/>
      <x:c r="K104" s="14" t="str"/>
      <x:c r="L104" s="14" t="str"/>
      <x:c r="M104" s="14" t="str">
        <x:v>N/A</x:v>
      </x:c>
      <x:c r="N104" s="14" t="str"/>
    </x:row>
    <x:row r="105">
      <x:c r="A105" s="12" t="str">
        <x:v>T104</x:v>
      </x:c>
      <x:c r="B105" s="12" t="str">
        <x:v>17. Production Smoke</x:v>
      </x:c>
      <x:c r="C105" s="12" t="str">
        <x:v>Smoke</x:v>
      </x:c>
      <x:c r="D105" s="14" t="str">
        <x:v>Minimal production SANITY</x:v>
      </x:c>
      <x:c r="E105" s="14" t="str">
        <x:v>Create minimal SANITY family/trainer/enrollment/class on Production.</x:v>
      </x:c>
      <x:c r="F105" s="14" t="str">
        <x:v>Critical workflow succeeds in live environment.</x:v>
      </x:c>
      <x:c r="G105" s="12" t="str">
        <x:v>P0</x:v>
      </x:c>
      <x:c r="H105" s="12" t="str">
        <x:v>All</x:v>
      </x:c>
      <x:c r="I105" s="12" t="str">
        <x:v>Not Started</x:v>
      </x:c>
      <x:c r="J105" s="16"/>
      <x:c r="K105" s="14" t="str"/>
      <x:c r="L105" s="14" t="str"/>
      <x:c r="M105" s="14" t="str">
        <x:v>N/A</x:v>
      </x:c>
      <x:c r="N105" s="14" t="str"/>
    </x:row>
    <x:row r="106">
      <x:c r="A106" s="12" t="str">
        <x:v>T105</x:v>
      </x:c>
      <x:c r="B106" s="12" t="str">
        <x:v>17. Production Smoke</x:v>
      </x:c>
      <x:c r="C106" s="12" t="str">
        <x:v>Cleanup</x:v>
      </x:c>
      <x:c r="D106" s="14" t="str">
        <x:v>Production SANITY cleanup</x:v>
      </x:c>
      <x:c r="E106" s="14" t="str">
        <x:v>Remove Production SANITY records after smoke test.</x:v>
      </x:c>
      <x:c r="F106" s="14" t="str">
        <x:v>No SANITY test users/data remain; master data unaffected.</x:v>
      </x:c>
      <x:c r="G106" s="12" t="str">
        <x:v>P0</x:v>
      </x:c>
      <x:c r="H106" s="12" t="str">
        <x:v>Admin/DB</x:v>
      </x:c>
      <x:c r="I106" s="12" t="str">
        <x:v>Not Started</x:v>
      </x:c>
      <x:c r="J106" s="16"/>
      <x:c r="K106" s="14" t="str"/>
      <x:c r="L106" s="14" t="str"/>
      <x:c r="M106" s="14" t="str">
        <x:v>N/A</x:v>
      </x:c>
      <x:c r="N106" s="14" t="str"/>
    </x:row>
  </x:sheetData>
  <x:conditionalFormatting sqref="I2:I106">
    <x:cfRule type="expression" dxfId="0" priority="1">
      <x:formula>I2="Passed"</x:formula>
    </x:cfRule>
    <x:cfRule type="expression" dxfId="1" priority="2">
      <x:formula>I2="Failed"</x:formula>
    </x:cfRule>
    <x:cfRule type="expression" dxfId="2" priority="3">
      <x:formula>I2="Blocked"</x:formula>
    </x:cfRule>
    <x:cfRule type="expression" dxfId="3" priority="4">
      <x:formula>I2="In Progress"</x:formula>
    </x:cfRule>
    <x:cfRule type="expression" dxfId="4" priority="5">
      <x:formula>I2="Not Started"</x:formula>
    </x:cfRule>
    <x:cfRule type="expression" dxfId="5" priority="6">
      <x:formula>I2="N/A"</x:formula>
    </x:cfRule>
  </x:conditionalFormatting>
  <x:conditionalFormatting sqref="G2:G106">
    <x:cfRule type="expression" dxfId="6" priority="7">
      <x:formula>G2="P0"</x:formula>
    </x:cfRule>
    <x:cfRule type="expression" dxfId="7" priority="8">
      <x:formula>G2="P1"</x:formula>
    </x:cfRule>
    <x:cfRule type="expression" dxfId="8" priority="9">
      <x:formula>G2="P2"</x:formula>
    </x:cfRule>
  </x:conditionalFormatting>
  <x:dataValidations count="3">
    <x:dataValidation type="list" sqref="I2:I106">
      <x:formula1>"Not Started,In Progress,Passed,Failed,Blocked,N/A"</x:formula1>
    </x:dataValidation>
    <x:dataValidation type="list" sqref="M2:M106">
      <x:formula1>"N/A,Pending,Passed,Failed"</x:formula1>
    </x:dataValidation>
    <x:dataValidation type="list" sqref="G2:G10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0a55f282ae495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6" hidden="0" customWidth="1"/>
    <x:col min="3" max="3" width="14" hidden="0" customWidth="1"/>
    <x:col min="4" max="4" width="10" hidden="0" customWidth="1"/>
    <x:col min="5" max="5" width="14" hidden="0" customWidth="1"/>
    <x:col min="6" max="6" width="48" hidden="0" customWidth="1"/>
    <x:col min="7" max="7" width="50" hidden="0" customWidth="1"/>
    <x:col min="8" max="8" width="24" hidden="0" customWidth="1"/>
    <x:col min="9" max="9" width="14" hidden="0" customWidth="1"/>
    <x:col min="10" max="10" width="30" hidden="0" customWidth="1"/>
  </x:cols>
  <x:sheetData>
    <x:row r="1">
      <x:c r="A1" s="21" t="str">
        <x:v>Issue ID</x:v>
      </x:c>
      <x:c r="B1" s="21" t="str">
        <x:v>Issue</x:v>
      </x:c>
      <x:c r="C1" s="21" t="str">
        <x:v>Type</x:v>
      </x:c>
      <x:c r="D1" s="21" t="str">
        <x:v>Severity</x:v>
      </x:c>
      <x:c r="E1" s="21" t="str">
        <x:v>Status</x:v>
      </x:c>
      <x:c r="F1" s="21" t="str">
        <x:v>Current Finding</x:v>
      </x:c>
      <x:c r="G1" s="21" t="str">
        <x:v>Required Fix / Decision</x:v>
      </x:c>
      <x:c r="H1" s="21" t="str">
        <x:v>Related Phase</x:v>
      </x:c>
      <x:c r="I1" s="21" t="str">
        <x:v>Retest Result</x:v>
      </x:c>
      <x:c r="J1" s="21" t="str">
        <x:v>Notes</x:v>
      </x:c>
    </x:row>
    <x:row r="2">
      <x:c r="A2" s="12" t="str">
        <x:v>I001</x:v>
      </x:c>
      <x:c r="B2" s="14" t="str">
        <x:v>Admin onboarding notification missing</x:v>
      </x:c>
      <x:c r="C2" s="14" t="str">
        <x:v>Functional</x:v>
      </x:c>
      <x:c r="D2" s="14" t="str">
        <x:v>P1</x:v>
      </x:c>
      <x:c r="E2" s="14" t="str">
        <x:v>Open</x:v>
      </x:c>
      <x:c r="F2" s="14" t="str">
        <x:v>Parent submission currently appears in Admin Onboarding but no Admin notification is generated.</x:v>
      </x:c>
      <x:c r="G2" s="14" t="str">
        <x:v>Add notification only after successful onboarding insert, with link to submission.</x:v>
      </x:c>
      <x:c r="H2" s="14" t="str">
        <x:v>5. Admin Onboarding</x:v>
      </x:c>
      <x:c r="I2" s="14" t="str">
        <x:v>Pending</x:v>
      </x:c>
      <x:c r="J2" s="14" t="str"/>
    </x:row>
    <x:row r="3">
      <x:c r="A3" s="12" t="str">
        <x:v>I002</x:v>
      </x:c>
      <x:c r="B3" s="14" t="str">
        <x:v>Preferred timing windows may not appear in Admin</x:v>
      </x:c>
      <x:c r="C3" s="14" t="str">
        <x:v>Functional</x:v>
      </x:c>
      <x:c r="D3" s="14" t="str">
        <x:v>P0</x:v>
      </x:c>
      <x:c r="E3" s="14" t="str">
        <x:v>Investigating</x:v>
      </x:c>
      <x:c r="F3" s="14" t="str">
        <x:v>Parent may have entered timing windows but Admin Scheduling Assist shows 'No parent availability captured'.</x:v>
      </x:c>
      <x:c r="G3" s="14" t="str">
        <x:v>Verify DB preferred_time_windows. If present, fix parser/display; if absent, fix onboarding save flow.</x:v>
      </x:c>
      <x:c r="H3" s="14" t="str">
        <x:v>5. Admin Onboarding</x:v>
      </x:c>
      <x:c r="I3" s="14" t="str">
        <x:v>Pending</x:v>
      </x:c>
      <x:c r="J3" s="14" t="str"/>
    </x:row>
    <x:row r="4">
      <x:c r="A4" s="12" t="str">
        <x:v>I003</x:v>
      </x:c>
      <x:c r="B4" s="14" t="str">
        <x:v>Billing component shows 'Sign in as an administrator' to logged-in Admin</x:v>
      </x:c>
      <x:c r="C4" s="14" t="str">
        <x:v>Functional</x:v>
      </x:c>
      <x:c r="D4" s="14" t="str">
        <x:v>P0</x:v>
      </x:c>
      <x:c r="E4" s="14" t="str">
        <x:v>Open</x:v>
      </x:c>
      <x:c r="F4" s="14" t="str">
        <x:v>Billing section performs an inconsistent auth/loading check.</x:v>
      </x:c>
      <x:c r="G4" s="14" t="str">
        <x:v>Reuse portal Admin identity/RoleGuard and show only loading state until resolved.</x:v>
      </x:c>
      <x:c r="H4" s="14" t="str">
        <x:v>13. Billing &amp; Invoice</x:v>
      </x:c>
      <x:c r="I4" s="14" t="str">
        <x:v>Pending</x:v>
      </x:c>
      <x:c r="J4" s="14" t="str"/>
    </x:row>
    <x:row r="5">
      <x:c r="A5" s="12" t="str">
        <x:v>I004</x:v>
      </x:c>
      <x:c r="B5" s="14" t="str">
        <x:v>Trainer availability editor should be view-first</x:v>
      </x:c>
      <x:c r="C5" s="14" t="str">
        <x:v>UX</x:v>
      </x:c>
      <x:c r="D5" s="14" t="str">
        <x:v>P2</x:v>
      </x:c>
      <x:c r="E5" s="14" t="str">
        <x:v>Planned</x:v>
      </x:c>
      <x:c r="F5" s="14" t="str">
        <x:v>Trainer can already edit recurring availability and overrides, but editor is always exposed.</x:v>
      </x:c>
      <x:c r="G5" s="14" t="str">
        <x:v>Default to compact summary; Edit availability; Save/Cancel; preserve all existing functions.</x:v>
      </x:c>
      <x:c r="H5" s="14" t="str">
        <x:v>6. Trainer Setup</x:v>
      </x:c>
      <x:c r="I5" s="14" t="str">
        <x:v>Pending</x:v>
      </x:c>
      <x:c r="J5" s="14" t="str"/>
    </x:row>
    <x:row r="6">
      <x:c r="A6" s="12" t="str">
        <x:v>I005</x:v>
      </x:c>
      <x:c r="B6" s="14" t="str">
        <x:v>Enrollment History weekly schedule hard to scan</x:v>
      </x:c>
      <x:c r="C6" s="14" t="str">
        <x:v>UX</x:v>
      </x:c>
      <x:c r="D6" s="14" t="str">
        <x:v>P2</x:v>
      </x:c>
      <x:c r="E6" s="14" t="str">
        <x:v>Planned</x:v>
      </x:c>
      <x:c r="F6" s="14" t="str">
        <x:v>Multiple day/time values are packed into one text block.</x:v>
      </x:c>
      <x:c r="G6" s="14" t="str">
        <x:v>Display one day/time per line; show timezone once.</x:v>
      </x:c>
      <x:c r="H6" s="14" t="str">
        <x:v>11. Enrollment UI</x:v>
      </x:c>
      <x:c r="I6" s="14" t="str">
        <x:v>Pending</x:v>
      </x:c>
      <x:c r="J6" s="14" t="str"/>
    </x:row>
    <x:row r="7">
      <x:c r="A7" s="12" t="str">
        <x:v>I006</x:v>
      </x:c>
      <x:c r="B7" s="14" t="str">
        <x:v>Enrollment status raw lowercase</x:v>
      </x:c>
      <x:c r="C7" s="14" t="str">
        <x:v>UX</x:v>
      </x:c>
      <x:c r="D7" s="14" t="str">
        <x:v>P2</x:v>
      </x:c>
      <x:c r="E7" s="14" t="str">
        <x:v>Planned</x:v>
      </x:c>
      <x:c r="F7" s="14" t="str">
        <x:v>Status shows 'active'.</x:v>
      </x:c>
      <x:c r="G7" s="14" t="str">
        <x:v>Display user-friendly label 'Active' while preserving stored value.</x:v>
      </x:c>
      <x:c r="H7" s="14" t="str">
        <x:v>11. Enrollment UI</x:v>
      </x:c>
      <x:c r="I7" s="14" t="str">
        <x:v>Pending</x:v>
      </x:c>
      <x:c r="J7" s="14" t="str"/>
    </x:row>
    <x:row r="8">
      <x:c r="A8" s="12" t="str">
        <x:v>I007</x:v>
      </x:c>
      <x:c r="B8" s="14" t="str">
        <x:v>Program Model raw lowercase</x:v>
      </x:c>
      <x:c r="C8" s="14" t="str">
        <x:v>UX</x:v>
      </x:c>
      <x:c r="D8" s="14" t="str">
        <x:v>P2</x:v>
      </x:c>
      <x:c r="E8" s="14" t="str">
        <x:v>Planned</x:v>
      </x:c>
      <x:c r="F8" s="14" t="str">
        <x:v>Program model shows 'fixed program'.</x:v>
      </x:c>
      <x:c r="G8" s="14" t="str">
        <x:v>Display 'Fixed Program' while preserving internal value.</x:v>
      </x:c>
      <x:c r="H8" s="14" t="str">
        <x:v>11. Enrollment UI</x:v>
      </x:c>
      <x:c r="I8" s="14" t="str">
        <x:v>Pending</x:v>
      </x:c>
      <x:c r="J8" s="14" t="str"/>
    </x:row>
    <x:row r="9">
      <x:c r="A9" s="12" t="str">
        <x:v>I008</x:v>
      </x:c>
      <x:c r="B9" s="14" t="str">
        <x:v>Onboarding Step 1 Continue alignment</x:v>
      </x:c>
      <x:c r="C9" s="14" t="str">
        <x:v>UX</x:v>
      </x:c>
      <x:c r="D9" s="14" t="str">
        <x:v>P2</x:v>
      </x:c>
      <x:c r="E9" s="14" t="str">
        <x:v>Planned</x:v>
      </x:c>
      <x:c r="F9" s="14" t="str">
        <x:v>Continue button is visually detached/left aligned.</x:v>
      </x:c>
      <x:c r="G9" s="14" t="str">
        <x:v>Use consistent wizard footer; Continue on right.</x:v>
      </x:c>
      <x:c r="H9" s="14" t="str">
        <x:v>3. Parent Onboarding</x:v>
      </x:c>
      <x:c r="I9" s="14" t="str">
        <x:v>Pending</x:v>
      </x:c>
      <x:c r="J9" s="14" t="str"/>
    </x:row>
    <x:row r="10">
      <x:c r="A10" s="12" t="str">
        <x:v>I009</x:v>
      </x:c>
      <x:c r="B10" s="14" t="str">
        <x:v>Onboarding Step 2 action alignment</x:v>
      </x:c>
      <x:c r="C10" s="14" t="str">
        <x:v>UX</x:v>
      </x:c>
      <x:c r="D10" s="14" t="str">
        <x:v>P2</x:v>
      </x:c>
      <x:c r="E10" s="14" t="str">
        <x:v>Planned</x:v>
      </x:c>
      <x:c r="F10" s="14" t="str">
        <x:v>Back and Submit are clustered at left.</x:v>
      </x:c>
      <x:c r="G10" s="14" t="str">
        <x:v>Use full-width footer; Back left, Submit right.</x:v>
      </x:c>
      <x:c r="H10" s="14" t="str">
        <x:v>3. Parent Onboarding</x:v>
      </x:c>
      <x:c r="I10" s="14" t="str">
        <x:v>Pending</x:v>
      </x:c>
      <x:c r="J10" s="14" t="str"/>
    </x:row>
    <x:row r="11">
      <x:c r="A11" s="12" t="str">
        <x:v>I010</x:v>
      </x:c>
      <x:c r="B11" s="14" t="str">
        <x:v>Browser extension hydration warning</x:v>
      </x:c>
      <x:c r="C11" s="14" t="str">
        <x:v>Environment</x:v>
      </x:c>
      <x:c r="D11" s="14" t="str">
        <x:v>P2</x:v>
      </x:c>
      <x:c r="E11" s="14" t="str">
        <x:v>Non-App</x:v>
      </x:c>
      <x:c r="F11" s="14" t="str">
        <x:v>cz-shortcut-listen attribute can be injected by browser extension.</x:v>
      </x:c>
      <x:c r="G11" s="14" t="str">
        <x:v>Verify in Incognito/extensions disabled. No code fix if warning disappears.</x:v>
      </x:c>
      <x:c r="H11" s="14" t="str">
        <x:v>1. Environment</x:v>
      </x:c>
      <x:c r="I11" s="14" t="str">
        <x:v>Pending</x:v>
      </x:c>
      <x:c r="J11" s="14" t="str"/>
    </x:row>
  </x:sheetData>
  <x:conditionalFormatting sqref="D2:D11">
    <x:cfRule type="expression" dxfId="9" priority="1">
      <x:formula>D2="P0"</x:formula>
    </x:cfRule>
  </x:conditionalFormatting>
  <x:conditionalFormatting sqref="E2:E11">
    <x:cfRule type="expression" dxfId="10" priority="2">
      <x:formula>E2="Fixed"</x:formula>
    </x:cfRule>
    <x:cfRule type="expression" dxfId="11" priority="3">
      <x:formula>OR(E2="Open",E2="Investigating")</x:formula>
    </x:cfRule>
  </x:conditionalFormatting>
  <x:dataValidations count="3">
    <x:dataValidation type="list" sqref="D2:D11">
      <x:formula1>"P0,P1,P2"</x:formula1>
    </x:dataValidation>
    <x:dataValidation type="list" sqref="E2:E11">
      <x:formula1>"Open,Investigating,Planned,Fixed,Accepted,Non-App"</x:formula1>
    </x:dataValidation>
    <x:dataValidation type="list" sqref="I2:I11">
      <x:formula1>"Pending,Passed,Failed,N/A"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e0e12ab72c4f2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6" hidden="0" customWidth="1"/>
    <x:col min="3" max="3" width="52" hidden="0" customWidth="1"/>
    <x:col min="4" max="4" width="10" hidden="0" customWidth="1"/>
    <x:col min="5" max="5" width="14" hidden="0" customWidth="1"/>
    <x:col min="6" max="6" width="42" hidden="0" customWidth="1"/>
  </x:cols>
  <x:sheetData>
    <x:row r="1">
      <x:c r="A1" s="29" t="str">
        <x:v>Gate ID</x:v>
      </x:c>
      <x:c r="B1" s="29" t="str">
        <x:v>Go-Live Criterion</x:v>
      </x:c>
      <x:c r="C1" s="29" t="str">
        <x:v>Pass Condition</x:v>
      </x:c>
      <x:c r="D1" s="29" t="str">
        <x:v>Priority</x:v>
      </x:c>
      <x:c r="E1" s="29" t="str">
        <x:v>Status</x:v>
      </x:c>
      <x:c r="F1" s="29" t="str">
        <x:v>Evidence / Notes</x:v>
      </x:c>
    </x:row>
    <x:row r="2">
      <x:c r="A2" s="12" t="str">
        <x:v>G01</x:v>
      </x:c>
      <x:c r="B2" s="14" t="str">
        <x:v>TypeScript clean</x:v>
      </x:c>
      <x:c r="C2" s="14" t="str">
        <x:v>npm run typecheck = 0 errors</x:v>
      </x:c>
      <x:c r="D2" s="14" t="str">
        <x:v>P0</x:v>
      </x:c>
      <x:c r="E2" s="14" t="str">
        <x:v>Not Started</x:v>
      </x:c>
      <x:c r="F2" s="14" t="str"/>
    </x:row>
    <x:row r="3">
      <x:c r="A3" s="12" t="str">
        <x:v>G02</x:v>
      </x:c>
      <x:c r="B3" s="14" t="str">
        <x:v>No unexplained build/runtime blocker</x:v>
      </x:c>
      <x:c r="C3" s="14" t="str">
        <x:v>Homepage/Admin load without application-caused build errors</x:v>
      </x:c>
      <x:c r="D3" s="14" t="str">
        <x:v>P0</x:v>
      </x:c>
      <x:c r="E3" s="14" t="str">
        <x:v>Not Started</x:v>
      </x:c>
      <x:c r="F3" s="14" t="str"/>
    </x:row>
    <x:row r="4">
      <x:c r="A4" s="12" t="str">
        <x:v>G03</x:v>
      </x:c>
      <x:c r="B4" s="14" t="str">
        <x:v>Auth and role routing passed</x:v>
      </x:c>
      <x:c r="C4" s="14" t="str">
        <x:v>Admin/Trainer/Parent/Student route correctly</x:v>
      </x:c>
      <x:c r="D4" s="14" t="str">
        <x:v>P0</x:v>
      </x:c>
      <x:c r="E4" s="14" t="str">
        <x:v>Not Started</x:v>
      </x:c>
      <x:c r="F4" s="14" t="str"/>
    </x:row>
    <x:row r="5">
      <x:c r="A5" s="12" t="str">
        <x:v>G04</x:v>
      </x:c>
      <x:c r="B5" s="14" t="str">
        <x:v>Role isolation / RLS passed</x:v>
      </x:c>
      <x:c r="C5" s="14" t="str">
        <x:v>No role can access another role's restricted data</x:v>
      </x:c>
      <x:c r="D5" s="14" t="str">
        <x:v>P0</x:v>
      </x:c>
      <x:c r="E5" s="14" t="str">
        <x:v>Not Started</x:v>
      </x:c>
      <x:c r="F5" s="14" t="str"/>
    </x:row>
    <x:row r="6">
      <x:c r="A6" s="12" t="str">
        <x:v>G05</x:v>
      </x:c>
      <x:c r="B6" s="14" t="str">
        <x:v>Parent onboarding passed</x:v>
      </x:c>
      <x:c r="C6" s="14" t="str">
        <x:v>Valid family can submit complete onboarding</x:v>
      </x:c>
      <x:c r="D6" s="14" t="str">
        <x:v>P0</x:v>
      </x:c>
      <x:c r="E6" s="14" t="str">
        <x:v>Not Started</x:v>
      </x:c>
      <x:c r="F6" s="14" t="str"/>
    </x:row>
    <x:row r="7">
      <x:c r="A7" s="12" t="str">
        <x:v>G06</x:v>
      </x:c>
      <x:c r="B7" s="14" t="str">
        <x:v>Onboarding data verified in DB</x:v>
      </x:c>
      <x:c r="C7" s="14" t="str">
        <x:v>Contacts, learning profile and timings stored</x:v>
      </x:c>
      <x:c r="D7" s="14" t="str">
        <x:v>P0</x:v>
      </x:c>
      <x:c r="E7" s="14" t="str">
        <x:v>Not Started</x:v>
      </x:c>
      <x:c r="F7" s="14" t="str"/>
    </x:row>
    <x:row r="8">
      <x:c r="A8" s="12" t="str">
        <x:v>G07</x:v>
      </x:c>
      <x:c r="B8" s="14" t="str">
        <x:v>Admin sees parent timing windows</x:v>
      </x:c>
      <x:c r="C8" s="14" t="str">
        <x:v>No missing availability when DB contains timing data</x:v>
      </x:c>
      <x:c r="D8" s="14" t="str">
        <x:v>P0</x:v>
      </x:c>
      <x:c r="E8" s="14" t="str">
        <x:v>Not Started</x:v>
      </x:c>
      <x:c r="F8" s="14" t="str"/>
    </x:row>
    <x:row r="9">
      <x:c r="A9" s="12" t="str">
        <x:v>G08</x:v>
      </x:c>
      <x:c r="B9" s="14" t="str">
        <x:v>Activation passed</x:v>
      </x:c>
      <x:c r="C9" s="14" t="str">
        <x:v>Student/enrollment/parent link/schedule created once</x:v>
      </x:c>
      <x:c r="D9" s="14" t="str">
        <x:v>P0</x:v>
      </x:c>
      <x:c r="E9" s="14" t="str">
        <x:v>Not Started</x:v>
      </x:c>
      <x:c r="F9" s="14" t="str"/>
    </x:row>
    <x:row r="10">
      <x:c r="A10" s="12" t="str">
        <x:v>G09</x:v>
      </x:c>
      <x:c r="B10" s="14" t="str">
        <x:v>Schedule conflict guards passed</x:v>
      </x:c>
      <x:c r="C10" s="14" t="str">
        <x:v>Trainer and learner overlaps blocked; overrides respected</x:v>
      </x:c>
      <x:c r="D10" s="14" t="str">
        <x:v>P0</x:v>
      </x:c>
      <x:c r="E10" s="14" t="str">
        <x:v>Not Started</x:v>
      </x:c>
      <x:c r="F10" s="14" t="str"/>
    </x:row>
    <x:row r="11">
      <x:c r="A11" s="12" t="str">
        <x:v>G10</x:v>
      </x:c>
      <x:c r="B11" s="14" t="str">
        <x:v>Parent sees activated learner</x:v>
      </x:c>
      <x:c r="C11" s="14" t="str">
        <x:v>Correct course/trainer/schedule/progress visible</x:v>
      </x:c>
      <x:c r="D11" s="14" t="str">
        <x:v>P0</x:v>
      </x:c>
      <x:c r="E11" s="14" t="str">
        <x:v>Not Started</x:v>
      </x:c>
      <x:c r="F11" s="14" t="str"/>
    </x:row>
    <x:row r="12">
      <x:c r="A12" s="12" t="str">
        <x:v>G11</x:v>
      </x:c>
      <x:c r="B12" s="14" t="str">
        <x:v>Trainer sees assigned learner/classes</x:v>
      </x:c>
      <x:c r="C12" s="14" t="str">
        <x:v>Learner Progress, classes and schedule correct</x:v>
      </x:c>
      <x:c r="D12" s="14" t="str">
        <x:v>P0</x:v>
      </x:c>
      <x:c r="E12" s="14" t="str">
        <x:v>Not Started</x:v>
      </x:c>
      <x:c r="F12" s="14" t="str"/>
    </x:row>
    <x:row r="13">
      <x:c r="A13" s="12" t="str">
        <x:v>G12</x:v>
      </x:c>
      <x:c r="B13" s="14" t="str">
        <x:v>Class delivery + attendance passed</x:v>
      </x:c>
      <x:c r="C13" s="14" t="str">
        <x:v>Conducted class and attendance persist correctly</x:v>
      </x:c>
      <x:c r="D13" s="14" t="str">
        <x:v>P0</x:v>
      </x:c>
      <x:c r="E13" s="14" t="str">
        <x:v>Not Started</x:v>
      </x:c>
      <x:c r="F13" s="14" t="str"/>
    </x:row>
    <x:row r="14">
      <x:c r="A14" s="12" t="str">
        <x:v>G13</x:v>
      </x:c>
      <x:c r="B14" s="14" t="str">
        <x:v>Delivered hours / progress passed</x:v>
      </x:c>
      <x:c r="C14" s="14" t="str">
        <x:v>Hours and progress update correctly</x:v>
      </x:c>
      <x:c r="D14" s="14" t="str">
        <x:v>P0</x:v>
      </x:c>
      <x:c r="E14" s="14" t="str">
        <x:v>Not Started</x:v>
      </x:c>
      <x:c r="F14" s="14" t="str"/>
    </x:row>
    <x:row r="15">
      <x:c r="A15" s="12" t="str">
        <x:v>G14</x:v>
      </x:c>
      <x:c r="B15" s="14" t="str">
        <x:v>Payroll rules passed</x:v>
      </x:c>
      <x:c r="C15" s="14" t="str">
        <x:v>Completed/no-show/cancelled/trainer no-show calculate correctly</x:v>
      </x:c>
      <x:c r="D15" s="14" t="str">
        <x:v>P0</x:v>
      </x:c>
      <x:c r="E15" s="14" t="str">
        <x:v>Not Started</x:v>
      </x:c>
      <x:c r="F15" s="14" t="str"/>
    </x:row>
    <x:row r="16">
      <x:c r="A16" s="12" t="str">
        <x:v>G15</x:v>
      </x:c>
      <x:c r="B16" s="14" t="str">
        <x:v>Trainer rate card and payout privacy passed</x:v>
      </x:c>
      <x:c r="C16" s="14" t="str">
        <x:v>Read-only trainer visibility; Admin management only</x:v>
      </x:c>
      <x:c r="D16" s="14" t="str">
        <x:v>P0</x:v>
      </x:c>
      <x:c r="E16" s="14" t="str">
        <x:v>Not Started</x:v>
      </x:c>
      <x:c r="F16" s="14" t="str"/>
    </x:row>
    <x:row r="17">
      <x:c r="A17" s="12" t="str">
        <x:v>G16</x:v>
      </x:c>
      <x:c r="B17" s="14" t="str">
        <x:v>Billing Admin auth bug fixed</x:v>
      </x:c>
      <x:c r="C17" s="14" t="str">
        <x:v>No false administrator sign-in prompt</x:v>
      </x:c>
      <x:c r="D17" s="14" t="str">
        <x:v>P0</x:v>
      </x:c>
      <x:c r="E17" s="14" t="str">
        <x:v>Not Started</x:v>
      </x:c>
      <x:c r="F17" s="14" t="str"/>
    </x:row>
    <x:row r="18">
      <x:c r="A18" s="12" t="str">
        <x:v>G17</x:v>
      </x:c>
      <x:c r="B18" s="14" t="str">
        <x:v>International invoice flow verified if launching now</x:v>
      </x:c>
      <x:c r="C18" s="14" t="str">
        <x:v>Razorpay test-mode draft validates tax/FX/address fields</x:v>
      </x:c>
      <x:c r="D18" s="14" t="str">
        <x:v>P0</x:v>
      </x:c>
      <x:c r="E18" s="14" t="str">
        <x:v>Not Started</x:v>
      </x:c>
      <x:c r="F18" s="14" t="str"/>
    </x:row>
    <x:row r="19">
      <x:c r="A19" s="12" t="str">
        <x:v>G18</x:v>
      </x:c>
      <x:c r="B19" s="14" t="str">
        <x:v>Notifications/messages role isolation passed</x:v>
      </x:c>
      <x:c r="C19" s="14" t="str">
        <x:v>No cross-role leakage</x:v>
      </x:c>
      <x:c r="D19" s="14" t="str">
        <x:v>P0</x:v>
      </x:c>
      <x:c r="E19" s="14" t="str">
        <x:v>Not Started</x:v>
      </x:c>
      <x:c r="F19" s="14" t="str"/>
    </x:row>
    <x:row r="20">
      <x:c r="A20" s="12" t="str">
        <x:v>G19</x:v>
      </x:c>
      <x:c r="B20" s="14" t="str">
        <x:v>Automated QA passed</x:v>
      </x:c>
      <x:c r="C20" s="14" t="str">
        <x:v>Auth/roles/workflow tests pass or are fully resolved</x:v>
      </x:c>
      <x:c r="D20" s="14" t="str">
        <x:v>P0</x:v>
      </x:c>
      <x:c r="E20" s="14" t="str">
        <x:v>Not Started</x:v>
      </x:c>
      <x:c r="F20" s="14" t="str"/>
    </x:row>
    <x:row r="21">
      <x:c r="A21" s="12" t="str">
        <x:v>G20</x:v>
      </x:c>
      <x:c r="B21" s="14" t="str">
        <x:v>SANITY cleanup verified</x:v>
      </x:c>
      <x:c r="C21" s="14" t="str">
        <x:v>Operational test data removable without deleting master/admin</x:v>
      </x:c>
      <x:c r="D21" s="14" t="str">
        <x:v>P0</x:v>
      </x:c>
      <x:c r="E21" s="14" t="str">
        <x:v>Not Started</x:v>
      </x:c>
      <x:c r="F21" s="14" t="str"/>
    </x:row>
    <x:row r="22">
      <x:c r="A22" s="12" t="str">
        <x:v>G21</x:v>
      </x:c>
      <x:c r="B22" s="14" t="str">
        <x:v>Production environment checked</x:v>
      </x:c>
      <x:c r="C22" s="14" t="str">
        <x:v>Netlify/Supabase/domain/OAuth/SMTP point to Production</x:v>
      </x:c>
      <x:c r="D22" s="14" t="str">
        <x:v>P0</x:v>
      </x:c>
      <x:c r="E22" s="14" t="str">
        <x:v>Not Started</x:v>
      </x:c>
      <x:c r="F22" s="14" t="str"/>
    </x:row>
    <x:row r="23">
      <x:c r="A23" s="12" t="str">
        <x:v>G22</x:v>
      </x:c>
      <x:c r="B23" s="14" t="str">
        <x:v>Production smoke test passed</x:v>
      </x:c>
      <x:c r="C23" s="14" t="str">
        <x:v>Minimal live SANITY journey succeeds</x:v>
      </x:c>
      <x:c r="D23" s="14" t="str">
        <x:v>P0</x:v>
      </x:c>
      <x:c r="E23" s="14" t="str">
        <x:v>Not Started</x:v>
      </x:c>
      <x:c r="F23" s="14" t="str"/>
    </x:row>
    <x:row r="24">
      <x:c r="A24" s="12" t="str">
        <x:v>G23</x:v>
      </x:c>
      <x:c r="B24" s="14" t="str">
        <x:v>No open P0 defects</x:v>
      </x:c>
      <x:c r="C24" s="14" t="str">
        <x:v>Known Issues contains zero Open/Investigating P0 items</x:v>
      </x:c>
      <x:c r="D24" s="14" t="str">
        <x:v>P0</x:v>
      </x:c>
      <x:c r="E24" s="14" t="str">
        <x:v>Not Started</x:v>
      </x:c>
      <x:c r="F24" s="14" t="str"/>
    </x:row>
  </x:sheetData>
  <x:conditionalFormatting sqref="E2:E24">
    <x:cfRule type="expression" dxfId="12" priority="1">
      <x:formula>E2="Passed"</x:formula>
    </x:cfRule>
    <x:cfRule type="expression" dxfId="13" priority="2">
      <x:formula>E2="Failed"</x:formula>
    </x:cfRule>
    <x:cfRule type="expression" dxfId="14" priority="3">
      <x:formula>E2="Blocked"</x:formula>
    </x:cfRule>
  </x:conditionalFormatting>
  <x:dataValidations count="1">
    <x:dataValidation type="list" sqref="E2:E24">
      <x:formula1>"Not Started,In Progress,Passed,Failed,Blocked,N/A"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3e8342c75f4540"/>
  </x:tableParts>
</x:worksheet>
</file>